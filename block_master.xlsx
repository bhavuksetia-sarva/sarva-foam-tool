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avuksetia/Desktop/"/>
    </mc:Choice>
  </mc:AlternateContent>
  <xr:revisionPtr revIDLastSave="0" documentId="8_{11029445-4831-DE46-A088-E33ADE9672A2}" xr6:coauthVersionLast="47" xr6:coauthVersionMax="47" xr10:uidLastSave="{00000000-0000-0000-0000-000000000000}"/>
  <bookViews>
    <workbookView xWindow="1880" yWindow="2260" windowWidth="26840" windowHeight="15740" xr2:uid="{286CCC99-F067-B04D-A69B-CCF7059464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3" i="1" l="1"/>
  <c r="Y33" i="1"/>
  <c r="T33" i="1"/>
  <c r="S33" i="1"/>
  <c r="AD33" i="1" s="1"/>
  <c r="R33" i="1"/>
  <c r="Q33" i="1"/>
  <c r="V33" i="1" s="1"/>
  <c r="K33" i="1"/>
  <c r="X33" i="1" s="1"/>
  <c r="C33" i="1"/>
  <c r="AA32" i="1"/>
  <c r="Y32" i="1"/>
  <c r="T32" i="1"/>
  <c r="S32" i="1"/>
  <c r="R32" i="1"/>
  <c r="Q32" i="1"/>
  <c r="V32" i="1" s="1"/>
  <c r="K32" i="1"/>
  <c r="AD32" i="1" s="1"/>
  <c r="C32" i="1"/>
  <c r="AE31" i="1"/>
  <c r="AA31" i="1"/>
  <c r="Z31" i="1"/>
  <c r="Y31" i="1"/>
  <c r="V31" i="1"/>
  <c r="T31" i="1"/>
  <c r="S31" i="1"/>
  <c r="R31" i="1"/>
  <c r="Q31" i="1"/>
  <c r="K31" i="1"/>
  <c r="AD31" i="1" s="1"/>
  <c r="C31" i="1"/>
  <c r="AE30" i="1"/>
  <c r="AC30" i="1"/>
  <c r="Z30" i="1"/>
  <c r="Y30" i="1"/>
  <c r="X30" i="1"/>
  <c r="V30" i="1"/>
  <c r="T30" i="1"/>
  <c r="S30" i="1"/>
  <c r="R30" i="1"/>
  <c r="Q30" i="1"/>
  <c r="K30" i="1"/>
  <c r="AA30" i="1" s="1"/>
  <c r="C30" i="1"/>
  <c r="AE29" i="1"/>
  <c r="AC29" i="1"/>
  <c r="AA29" i="1"/>
  <c r="Z29" i="1"/>
  <c r="Y29" i="1"/>
  <c r="X29" i="1"/>
  <c r="AB29" i="1" s="1"/>
  <c r="T29" i="1"/>
  <c r="S29" i="1"/>
  <c r="AD29" i="1" s="1"/>
  <c r="R29" i="1"/>
  <c r="Q29" i="1"/>
  <c r="V29" i="1" s="1"/>
  <c r="K29" i="1"/>
  <c r="C29" i="1"/>
  <c r="AE28" i="1"/>
  <c r="AD28" i="1"/>
  <c r="AC28" i="1"/>
  <c r="AF28" i="1" s="1"/>
  <c r="AA28" i="1"/>
  <c r="Y28" i="1"/>
  <c r="T28" i="1"/>
  <c r="S28" i="1"/>
  <c r="R28" i="1"/>
  <c r="Q28" i="1"/>
  <c r="V28" i="1" s="1"/>
  <c r="K28" i="1"/>
  <c r="X28" i="1" s="1"/>
  <c r="C28" i="1"/>
  <c r="AA27" i="1"/>
  <c r="Y27" i="1"/>
  <c r="T27" i="1"/>
  <c r="S27" i="1"/>
  <c r="R27" i="1"/>
  <c r="Q27" i="1"/>
  <c r="V27" i="1" s="1"/>
  <c r="K27" i="1"/>
  <c r="AD27" i="1" s="1"/>
  <c r="C27" i="1"/>
  <c r="AE26" i="1"/>
  <c r="AA26" i="1"/>
  <c r="Z26" i="1"/>
  <c r="Y26" i="1"/>
  <c r="V26" i="1"/>
  <c r="T26" i="1"/>
  <c r="S26" i="1"/>
  <c r="R26" i="1"/>
  <c r="Q26" i="1"/>
  <c r="K26" i="1"/>
  <c r="AD26" i="1" s="1"/>
  <c r="C26" i="1"/>
  <c r="AE25" i="1"/>
  <c r="AC25" i="1"/>
  <c r="AA25" i="1"/>
  <c r="Z25" i="1"/>
  <c r="Y25" i="1"/>
  <c r="X25" i="1"/>
  <c r="AB25" i="1" s="1"/>
  <c r="V25" i="1"/>
  <c r="T25" i="1"/>
  <c r="S25" i="1"/>
  <c r="R25" i="1"/>
  <c r="Q25" i="1"/>
  <c r="K25" i="1"/>
  <c r="AD25" i="1" s="1"/>
  <c r="C25" i="1"/>
  <c r="AE24" i="1"/>
  <c r="AC24" i="1"/>
  <c r="AF24" i="1" s="1"/>
  <c r="AA24" i="1"/>
  <c r="Z24" i="1"/>
  <c r="Y24" i="1"/>
  <c r="X24" i="1"/>
  <c r="AB24" i="1" s="1"/>
  <c r="AG24" i="1" s="1"/>
  <c r="AH24" i="1" s="1"/>
  <c r="T24" i="1"/>
  <c r="S24" i="1"/>
  <c r="AD24" i="1" s="1"/>
  <c r="R24" i="1"/>
  <c r="Q24" i="1"/>
  <c r="V24" i="1" s="1"/>
  <c r="K24" i="1"/>
  <c r="C24" i="1"/>
  <c r="AE23" i="1"/>
  <c r="AD23" i="1"/>
  <c r="AC23" i="1"/>
  <c r="AF23" i="1" s="1"/>
  <c r="AA23" i="1"/>
  <c r="Y23" i="1"/>
  <c r="T23" i="1"/>
  <c r="S23" i="1"/>
  <c r="R23" i="1"/>
  <c r="Q23" i="1"/>
  <c r="V23" i="1" s="1"/>
  <c r="K23" i="1"/>
  <c r="X23" i="1" s="1"/>
  <c r="C23" i="1"/>
  <c r="AA22" i="1"/>
  <c r="Y22" i="1"/>
  <c r="V22" i="1"/>
  <c r="S22" i="1"/>
  <c r="R22" i="1"/>
  <c r="Q22" i="1"/>
  <c r="K22" i="1"/>
  <c r="AC22" i="1" s="1"/>
  <c r="C22" i="1"/>
  <c r="AA21" i="1"/>
  <c r="Z21" i="1"/>
  <c r="Y21" i="1"/>
  <c r="X21" i="1"/>
  <c r="AB21" i="1" s="1"/>
  <c r="S21" i="1"/>
  <c r="AD21" i="1" s="1"/>
  <c r="R21" i="1"/>
  <c r="Q21" i="1"/>
  <c r="V21" i="1" s="1"/>
  <c r="K21" i="1"/>
  <c r="AC21" i="1" s="1"/>
  <c r="C21" i="1"/>
  <c r="AE20" i="1"/>
  <c r="V20" i="1"/>
  <c r="S20" i="1"/>
  <c r="R20" i="1"/>
  <c r="Q20" i="1"/>
  <c r="K20" i="1"/>
  <c r="Z20" i="1" s="1"/>
  <c r="C20" i="1"/>
  <c r="Z19" i="1"/>
  <c r="S19" i="1"/>
  <c r="R19" i="1"/>
  <c r="Q19" i="1"/>
  <c r="V19" i="1" s="1"/>
  <c r="K19" i="1"/>
  <c r="AD19" i="1" s="1"/>
  <c r="C19" i="1"/>
  <c r="AE18" i="1"/>
  <c r="AA18" i="1"/>
  <c r="Z18" i="1"/>
  <c r="Y18" i="1"/>
  <c r="AB18" i="1" s="1"/>
  <c r="X18" i="1"/>
  <c r="V18" i="1"/>
  <c r="S18" i="1"/>
  <c r="R18" i="1"/>
  <c r="Q18" i="1"/>
  <c r="K18" i="1"/>
  <c r="AD18" i="1" s="1"/>
  <c r="C18" i="1"/>
  <c r="AE17" i="1"/>
  <c r="Y17" i="1"/>
  <c r="X17" i="1"/>
  <c r="S17" i="1"/>
  <c r="AD17" i="1" s="1"/>
  <c r="R17" i="1"/>
  <c r="Q17" i="1"/>
  <c r="V17" i="1" s="1"/>
  <c r="K17" i="1"/>
  <c r="AA17" i="1" s="1"/>
  <c r="C17" i="1"/>
  <c r="S16" i="1"/>
  <c r="R16" i="1"/>
  <c r="Q16" i="1"/>
  <c r="V16" i="1" s="1"/>
  <c r="K16" i="1"/>
  <c r="X16" i="1" s="1"/>
  <c r="C16" i="1"/>
  <c r="AA15" i="1"/>
  <c r="Z15" i="1"/>
  <c r="Y15" i="1"/>
  <c r="X15" i="1"/>
  <c r="AB15" i="1" s="1"/>
  <c r="V15" i="1"/>
  <c r="S15" i="1"/>
  <c r="R15" i="1"/>
  <c r="Q15" i="1"/>
  <c r="K15" i="1"/>
  <c r="AE15" i="1" s="1"/>
  <c r="C15" i="1"/>
  <c r="AE14" i="1"/>
  <c r="Y14" i="1"/>
  <c r="X14" i="1"/>
  <c r="V14" i="1"/>
  <c r="S14" i="1"/>
  <c r="R14" i="1"/>
  <c r="Q14" i="1"/>
  <c r="K14" i="1"/>
  <c r="AA14" i="1" s="1"/>
  <c r="C14" i="1"/>
  <c r="AE13" i="1"/>
  <c r="AD13" i="1"/>
  <c r="Z13" i="1"/>
  <c r="S13" i="1"/>
  <c r="R13" i="1"/>
  <c r="Q13" i="1"/>
  <c r="V13" i="1" s="1"/>
  <c r="K13" i="1"/>
  <c r="Y13" i="1" s="1"/>
  <c r="C13" i="1"/>
  <c r="AA12" i="1"/>
  <c r="Y12" i="1"/>
  <c r="V12" i="1"/>
  <c r="S12" i="1"/>
  <c r="R12" i="1"/>
  <c r="Q12" i="1"/>
  <c r="K12" i="1"/>
  <c r="AC12" i="1" s="1"/>
  <c r="C12" i="1"/>
  <c r="AA11" i="1"/>
  <c r="Z11" i="1"/>
  <c r="Y11" i="1"/>
  <c r="X11" i="1"/>
  <c r="AB11" i="1" s="1"/>
  <c r="S11" i="1"/>
  <c r="AD11" i="1" s="1"/>
  <c r="R11" i="1"/>
  <c r="Q11" i="1"/>
  <c r="V11" i="1" s="1"/>
  <c r="K11" i="1"/>
  <c r="AC11" i="1" s="1"/>
  <c r="C11" i="1"/>
  <c r="V10" i="1"/>
  <c r="S10" i="1"/>
  <c r="R10" i="1"/>
  <c r="Q10" i="1"/>
  <c r="K10" i="1"/>
  <c r="Z10" i="1" s="1"/>
  <c r="C10" i="1"/>
  <c r="AC9" i="1"/>
  <c r="Z9" i="1"/>
  <c r="S9" i="1"/>
  <c r="R9" i="1"/>
  <c r="Q9" i="1"/>
  <c r="V9" i="1" s="1"/>
  <c r="K9" i="1"/>
  <c r="AE9" i="1" s="1"/>
  <c r="C9" i="1"/>
  <c r="AE8" i="1"/>
  <c r="AD8" i="1"/>
  <c r="AA8" i="1"/>
  <c r="Z8" i="1"/>
  <c r="Y8" i="1"/>
  <c r="X8" i="1"/>
  <c r="AB8" i="1" s="1"/>
  <c r="V8" i="1"/>
  <c r="S8" i="1"/>
  <c r="R8" i="1"/>
  <c r="Q8" i="1"/>
  <c r="K8" i="1"/>
  <c r="AC8" i="1" s="1"/>
  <c r="AF8" i="1" s="1"/>
  <c r="C8" i="1"/>
  <c r="AE7" i="1"/>
  <c r="AD7" i="1"/>
  <c r="AA7" i="1"/>
  <c r="Y7" i="1"/>
  <c r="X7" i="1"/>
  <c r="S7" i="1"/>
  <c r="R7" i="1"/>
  <c r="Q7" i="1"/>
  <c r="V7" i="1" s="1"/>
  <c r="K7" i="1"/>
  <c r="Z7" i="1" s="1"/>
  <c r="C7" i="1"/>
  <c r="AA6" i="1"/>
  <c r="S6" i="1"/>
  <c r="R6" i="1"/>
  <c r="Q6" i="1"/>
  <c r="V6" i="1" s="1"/>
  <c r="K6" i="1"/>
  <c r="X6" i="1" s="1"/>
  <c r="C6" i="1"/>
  <c r="AA5" i="1"/>
  <c r="Z5" i="1"/>
  <c r="Y5" i="1"/>
  <c r="X5" i="1"/>
  <c r="AB5" i="1" s="1"/>
  <c r="V5" i="1"/>
  <c r="S5" i="1"/>
  <c r="R5" i="1"/>
  <c r="Q5" i="1"/>
  <c r="K5" i="1"/>
  <c r="AE5" i="1" s="1"/>
  <c r="C5" i="1"/>
  <c r="AE4" i="1"/>
  <c r="X4" i="1"/>
  <c r="V4" i="1"/>
  <c r="S4" i="1"/>
  <c r="R4" i="1"/>
  <c r="Q4" i="1"/>
  <c r="K4" i="1"/>
  <c r="AA4" i="1" s="1"/>
  <c r="C4" i="1"/>
  <c r="AE3" i="1"/>
  <c r="AD3" i="1"/>
  <c r="S3" i="1"/>
  <c r="R3" i="1"/>
  <c r="Q3" i="1"/>
  <c r="V3" i="1" s="1"/>
  <c r="K3" i="1"/>
  <c r="Y3" i="1" s="1"/>
  <c r="C3" i="1"/>
  <c r="AB23" i="1" l="1"/>
  <c r="AG23" i="1" s="1"/>
  <c r="AH23" i="1" s="1"/>
  <c r="AB6" i="1"/>
  <c r="AB7" i="1"/>
  <c r="AG7" i="1" s="1"/>
  <c r="AH7" i="1" s="1"/>
  <c r="AG15" i="1"/>
  <c r="AH15" i="1" s="1"/>
  <c r="AB14" i="1"/>
  <c r="AF25" i="1"/>
  <c r="AF30" i="1"/>
  <c r="AB33" i="1"/>
  <c r="AG8" i="1"/>
  <c r="AH8" i="1" s="1"/>
  <c r="AF22" i="1"/>
  <c r="AB30" i="1"/>
  <c r="AG25" i="1"/>
  <c r="AH25" i="1" s="1"/>
  <c r="AG18" i="1"/>
  <c r="AH18" i="1" s="1"/>
  <c r="AF29" i="1"/>
  <c r="AG29" i="1" s="1"/>
  <c r="AH29" i="1" s="1"/>
  <c r="AE10" i="1"/>
  <c r="AD6" i="1"/>
  <c r="AC19" i="1"/>
  <c r="Z3" i="1"/>
  <c r="AC4" i="1"/>
  <c r="Y6" i="1"/>
  <c r="X9" i="1"/>
  <c r="AA10" i="1"/>
  <c r="AC14" i="1"/>
  <c r="Y16" i="1"/>
  <c r="AB16" i="1" s="1"/>
  <c r="X19" i="1"/>
  <c r="AA20" i="1"/>
  <c r="AA3" i="1"/>
  <c r="AD4" i="1"/>
  <c r="Z6" i="1"/>
  <c r="AC7" i="1"/>
  <c r="AF7" i="1" s="1"/>
  <c r="Y9" i="1"/>
  <c r="AE11" i="1"/>
  <c r="AF11" i="1" s="1"/>
  <c r="AG11" i="1" s="1"/>
  <c r="AH11" i="1" s="1"/>
  <c r="X12" i="1"/>
  <c r="AA13" i="1"/>
  <c r="AD14" i="1"/>
  <c r="Z16" i="1"/>
  <c r="AC17" i="1"/>
  <c r="AF17" i="1" s="1"/>
  <c r="Y19" i="1"/>
  <c r="AE21" i="1"/>
  <c r="AF21" i="1" s="1"/>
  <c r="AG21" i="1" s="1"/>
  <c r="AH21" i="1" s="1"/>
  <c r="X22" i="1"/>
  <c r="Z23" i="1"/>
  <c r="X27" i="1"/>
  <c r="AB27" i="1" s="1"/>
  <c r="Z28" i="1"/>
  <c r="AB28" i="1" s="1"/>
  <c r="AG28" i="1" s="1"/>
  <c r="AH28" i="1" s="1"/>
  <c r="AD30" i="1"/>
  <c r="X32" i="1"/>
  <c r="AB32" i="1" s="1"/>
  <c r="Z33" i="1"/>
  <c r="AC10" i="1"/>
  <c r="AA16" i="1"/>
  <c r="AC20" i="1"/>
  <c r="AC3" i="1"/>
  <c r="AF3" i="1" s="1"/>
  <c r="AA9" i="1"/>
  <c r="AD10" i="1"/>
  <c r="Z12" i="1"/>
  <c r="AC13" i="1"/>
  <c r="AF13" i="1" s="1"/>
  <c r="AA19" i="1"/>
  <c r="AD20" i="1"/>
  <c r="Z22" i="1"/>
  <c r="X26" i="1"/>
  <c r="AB26" i="1" s="1"/>
  <c r="Z27" i="1"/>
  <c r="X31" i="1"/>
  <c r="AB31" i="1" s="1"/>
  <c r="Z32" i="1"/>
  <c r="AC33" i="1"/>
  <c r="AF33" i="1" s="1"/>
  <c r="AE33" i="1"/>
  <c r="AD16" i="1"/>
  <c r="AD12" i="1"/>
  <c r="AF12" i="1" s="1"/>
  <c r="Z14" i="1"/>
  <c r="Y4" i="1"/>
  <c r="AB4" i="1" s="1"/>
  <c r="Z4" i="1"/>
  <c r="AC5" i="1"/>
  <c r="X10" i="1"/>
  <c r="AC15" i="1"/>
  <c r="AF15" i="1" s="1"/>
  <c r="AE19" i="1"/>
  <c r="AD22" i="1"/>
  <c r="X3" i="1"/>
  <c r="AD5" i="1"/>
  <c r="Y10" i="1"/>
  <c r="AE12" i="1"/>
  <c r="X13" i="1"/>
  <c r="AD15" i="1"/>
  <c r="Z17" i="1"/>
  <c r="AB17" i="1" s="1"/>
  <c r="AG17" i="1" s="1"/>
  <c r="AH17" i="1" s="1"/>
  <c r="AC18" i="1"/>
  <c r="AF18" i="1" s="1"/>
  <c r="Y20" i="1"/>
  <c r="AE22" i="1"/>
  <c r="AC26" i="1"/>
  <c r="AF26" i="1" s="1"/>
  <c r="AE27" i="1"/>
  <c r="AC31" i="1"/>
  <c r="AF31" i="1" s="1"/>
  <c r="AE32" i="1"/>
  <c r="AC6" i="1"/>
  <c r="AC16" i="1"/>
  <c r="AE6" i="1"/>
  <c r="AD9" i="1"/>
  <c r="AF9" i="1" s="1"/>
  <c r="AE16" i="1"/>
  <c r="AC27" i="1"/>
  <c r="AC32" i="1"/>
  <c r="X20" i="1"/>
  <c r="AF6" i="1" l="1"/>
  <c r="AB13" i="1"/>
  <c r="AG13" i="1" s="1"/>
  <c r="AH13" i="1" s="1"/>
  <c r="AG26" i="1"/>
  <c r="AH26" i="1" s="1"/>
  <c r="AF10" i="1"/>
  <c r="AF19" i="1"/>
  <c r="AB20" i="1"/>
  <c r="AG20" i="1" s="1"/>
  <c r="AH20" i="1" s="1"/>
  <c r="AG32" i="1"/>
  <c r="AH32" i="1" s="1"/>
  <c r="AB19" i="1"/>
  <c r="AF32" i="1"/>
  <c r="AB3" i="1"/>
  <c r="AG3" i="1" s="1"/>
  <c r="AH3" i="1" s="1"/>
  <c r="AG33" i="1"/>
  <c r="AH33" i="1" s="1"/>
  <c r="AF27" i="1"/>
  <c r="AB12" i="1"/>
  <c r="AG12" i="1" s="1"/>
  <c r="AH12" i="1" s="1"/>
  <c r="AF14" i="1"/>
  <c r="AG14" i="1" s="1"/>
  <c r="AH14" i="1" s="1"/>
  <c r="AG6" i="1"/>
  <c r="AH6" i="1" s="1"/>
  <c r="AG27" i="1"/>
  <c r="AH27" i="1" s="1"/>
  <c r="AB9" i="1"/>
  <c r="AG9" i="1" s="1"/>
  <c r="AH9" i="1" s="1"/>
  <c r="AB10" i="1"/>
  <c r="AG31" i="1"/>
  <c r="AH31" i="1" s="1"/>
  <c r="AB22" i="1"/>
  <c r="AG22" i="1" s="1"/>
  <c r="AH22" i="1" s="1"/>
  <c r="AF16" i="1"/>
  <c r="AG16" i="1" s="1"/>
  <c r="AH16" i="1" s="1"/>
  <c r="AF5" i="1"/>
  <c r="AG5" i="1" s="1"/>
  <c r="AH5" i="1" s="1"/>
  <c r="AF20" i="1"/>
  <c r="AF4" i="1"/>
  <c r="AG4" i="1" s="1"/>
  <c r="AH4" i="1" s="1"/>
  <c r="AG30" i="1"/>
  <c r="AH30" i="1" s="1"/>
  <c r="AG10" i="1" l="1"/>
  <c r="AH10" i="1" s="1"/>
  <c r="AG19" i="1"/>
  <c r="AH19" i="1" s="1"/>
</calcChain>
</file>

<file path=xl/sharedStrings.xml><?xml version="1.0" encoding="utf-8"?>
<sst xmlns="http://schemas.openxmlformats.org/spreadsheetml/2006/main" count="138" uniqueCount="47">
  <si>
    <t>BLOCK IDENTITY</t>
  </si>
  <si>
    <t>BLOCK</t>
  </si>
  <si>
    <t>BOM RM COMPOSITION %</t>
  </si>
  <si>
    <t>BINDER %</t>
  </si>
  <si>
    <t xml:space="preserve">SCRAP ABSOLUTE WEIGHT </t>
  </si>
  <si>
    <t>BINDER ABSOLUTE WEIGHT</t>
  </si>
  <si>
    <t>TOTAL</t>
  </si>
  <si>
    <t>WEIGHT</t>
  </si>
  <si>
    <t>HARD BINDER SOFT BINDER RATIO</t>
  </si>
  <si>
    <t>SL</t>
  </si>
  <si>
    <t>Unit Name</t>
  </si>
  <si>
    <t>Block SKU Name</t>
  </si>
  <si>
    <t>Customer Grade</t>
  </si>
  <si>
    <t>Grade Code</t>
  </si>
  <si>
    <t>Density</t>
  </si>
  <si>
    <t>Foaming Density</t>
  </si>
  <si>
    <t>L (mm)</t>
  </si>
  <si>
    <t>W (mm)</t>
  </si>
  <si>
    <t>H (mm)</t>
  </si>
  <si>
    <t>Total Wt
(KG)</t>
  </si>
  <si>
    <t>Imported Scrap</t>
  </si>
  <si>
    <t>Local Scrap</t>
  </si>
  <si>
    <t>Rebonded Scrap</t>
  </si>
  <si>
    <t>Memory Scrap</t>
  </si>
  <si>
    <t>Total Scrap
%</t>
  </si>
  <si>
    <t>Hard Binder 1519</t>
  </si>
  <si>
    <t>Soft Binder 1513</t>
  </si>
  <si>
    <t>Soft Binder 1026</t>
  </si>
  <si>
    <t>Total Binder %</t>
  </si>
  <si>
    <t>Binder Percentage Check</t>
  </si>
  <si>
    <t>Total W Scrap</t>
  </si>
  <si>
    <t>Hard Binder-1519</t>
  </si>
  <si>
    <t>Soft Binder-1513</t>
  </si>
  <si>
    <t>Soft Binder-1026</t>
  </si>
  <si>
    <t>Total W Binder</t>
  </si>
  <si>
    <t>Total Weight</t>
  </si>
  <si>
    <t>Weight Check</t>
  </si>
  <si>
    <t>REMARK</t>
  </si>
  <si>
    <t>Kelamangalam-5</t>
  </si>
  <si>
    <t>SHEELA FOAM</t>
  </si>
  <si>
    <t>FO</t>
  </si>
  <si>
    <t>ERODE/HOSAHALLI</t>
  </si>
  <si>
    <t>BBSR</t>
  </si>
  <si>
    <t>KURIKKAL</t>
  </si>
  <si>
    <t>IG</t>
  </si>
  <si>
    <t>NILKAMAL</t>
  </si>
  <si>
    <t>REPOSE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</si>
</sst>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00B0A0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top" wrapText="1"/>
    </xf>
    <xf numFmtId="0" fontId="4" fillId="7" borderId="4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10" fontId="4" fillId="7" borderId="1" xfId="0" applyNumberFormat="1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2" fontId="0" fillId="10" borderId="1" xfId="0" applyNumberForma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/>
    </xf>
    <xf numFmtId="9" fontId="0" fillId="9" borderId="1" xfId="0" applyNumberFormat="1" applyFill="1" applyBorder="1" applyAlignment="1">
      <alignment horizontal="center"/>
    </xf>
    <xf numFmtId="9" fontId="1" fillId="9" borderId="1" xfId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0" fontId="0" fillId="9" borderId="1" xfId="0" applyNumberFormat="1" applyFill="1" applyBorder="1" applyAlignment="1">
      <alignment horizontal="center"/>
    </xf>
    <xf numFmtId="9" fontId="0" fillId="10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" fontId="0" fillId="9" borderId="5" xfId="0" applyNumberFormat="1" applyFill="1" applyBorder="1"/>
    <xf numFmtId="2" fontId="0" fillId="10" borderId="5" xfId="0" applyNumberFormat="1" applyFill="1" applyBorder="1"/>
    <xf numFmtId="2" fontId="0" fillId="10" borderId="1" xfId="0" applyNumberFormat="1" applyFill="1" applyBorder="1"/>
    <xf numFmtId="2" fontId="0" fillId="9" borderId="1" xfId="0" applyNumberFormat="1" applyFill="1" applyBorder="1"/>
    <xf numFmtId="2" fontId="0" fillId="11" borderId="1" xfId="0" applyNumberFormat="1" applyFill="1" applyBorder="1"/>
    <xf numFmtId="9" fontId="0" fillId="11" borderId="1" xfId="0" applyNumberFormat="1" applyFill="1" applyBorder="1" applyAlignment="1">
      <alignment horizontal="center"/>
    </xf>
    <xf numFmtId="0" fontId="0" fillId="0" borderId="1" xfId="0" applyBorder="1"/>
    <xf numFmtId="0" fontId="0" fillId="12" borderId="1" xfId="0" applyFill="1" applyBorder="1" applyAlignment="1">
      <alignment horizontal="center"/>
    </xf>
    <xf numFmtId="10" fontId="1" fillId="9" borderId="1" xfId="1" applyNumberForma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7240-31E4-3D4A-9B9B-E759E95A03F3}">
  <dimension ref="A1:AN33"/>
  <sheetViews>
    <sheetView tabSelected="1" workbookViewId="0">
      <selection sqref="A1:XFD33"/>
    </sheetView>
  </sheetViews>
  <sheetFormatPr baseColWidth="10" defaultRowHeight="16" x14ac:dyDescent="0.2"/>
  <sheetData>
    <row r="1" spans="1:40" ht="20" customHeight="1" x14ac:dyDescent="0.2">
      <c r="A1" s="1"/>
      <c r="B1" s="2"/>
      <c r="C1" s="1" t="s">
        <v>0</v>
      </c>
      <c r="D1" s="1"/>
      <c r="E1" s="3"/>
      <c r="F1" s="3"/>
      <c r="G1" s="3"/>
      <c r="H1" s="4"/>
      <c r="I1" s="5"/>
      <c r="J1" s="6"/>
      <c r="K1" s="7" t="s">
        <v>1</v>
      </c>
      <c r="L1" s="7"/>
      <c r="M1" s="8" t="s">
        <v>2</v>
      </c>
      <c r="N1" s="5"/>
      <c r="O1" s="5"/>
      <c r="P1" s="5"/>
      <c r="Q1" s="6"/>
      <c r="R1" s="9" t="s">
        <v>3</v>
      </c>
      <c r="S1" s="5"/>
      <c r="T1" s="5"/>
      <c r="U1" s="5"/>
      <c r="V1" s="6"/>
      <c r="W1" s="10"/>
      <c r="X1" s="11" t="s">
        <v>4</v>
      </c>
      <c r="Y1" s="5"/>
      <c r="Z1" s="5"/>
      <c r="AA1" s="5"/>
      <c r="AB1" s="6"/>
      <c r="AC1" s="12" t="s">
        <v>5</v>
      </c>
      <c r="AD1" s="5"/>
      <c r="AE1" s="5"/>
      <c r="AF1" s="6"/>
      <c r="AG1" s="13" t="s">
        <v>6</v>
      </c>
      <c r="AH1" s="13" t="s">
        <v>7</v>
      </c>
      <c r="AI1" s="14"/>
      <c r="AJ1" s="15" t="s">
        <v>8</v>
      </c>
      <c r="AK1" s="5"/>
      <c r="AL1" s="6"/>
      <c r="AM1" s="1"/>
    </row>
    <row r="2" spans="1:40" ht="33.75" customHeight="1" x14ac:dyDescent="0.2">
      <c r="A2" s="16" t="s">
        <v>9</v>
      </c>
      <c r="B2" s="16" t="s">
        <v>10</v>
      </c>
      <c r="C2" s="16" t="s">
        <v>11</v>
      </c>
      <c r="D2" s="16" t="s">
        <v>12</v>
      </c>
      <c r="E2" s="17" t="s">
        <v>13</v>
      </c>
      <c r="F2" s="17" t="s">
        <v>14</v>
      </c>
      <c r="G2" s="17" t="s">
        <v>15</v>
      </c>
      <c r="H2" s="17" t="s">
        <v>16</v>
      </c>
      <c r="I2" s="17" t="s">
        <v>17</v>
      </c>
      <c r="J2" s="17" t="s">
        <v>18</v>
      </c>
      <c r="K2" s="18" t="s">
        <v>19</v>
      </c>
      <c r="L2" s="18"/>
      <c r="M2" s="19" t="s">
        <v>20</v>
      </c>
      <c r="N2" s="19" t="s">
        <v>21</v>
      </c>
      <c r="O2" s="19" t="s">
        <v>22</v>
      </c>
      <c r="P2" s="19" t="s">
        <v>23</v>
      </c>
      <c r="Q2" s="19" t="s">
        <v>24</v>
      </c>
      <c r="R2" s="19" t="s">
        <v>25</v>
      </c>
      <c r="S2" s="19" t="s">
        <v>26</v>
      </c>
      <c r="T2" s="19" t="s">
        <v>27</v>
      </c>
      <c r="U2" s="19" t="s">
        <v>28</v>
      </c>
      <c r="V2" s="19" t="s">
        <v>29</v>
      </c>
      <c r="W2" s="20"/>
      <c r="X2" s="21" t="s">
        <v>20</v>
      </c>
      <c r="Y2" s="21" t="s">
        <v>21</v>
      </c>
      <c r="Z2" s="21" t="s">
        <v>22</v>
      </c>
      <c r="AA2" s="21" t="s">
        <v>23</v>
      </c>
      <c r="AB2" s="22" t="s">
        <v>30</v>
      </c>
      <c r="AC2" s="23" t="s">
        <v>31</v>
      </c>
      <c r="AD2" s="13" t="s">
        <v>32</v>
      </c>
      <c r="AE2" s="13" t="s">
        <v>33</v>
      </c>
      <c r="AF2" s="13" t="s">
        <v>34</v>
      </c>
      <c r="AG2" s="13" t="s">
        <v>35</v>
      </c>
      <c r="AH2" s="13" t="s">
        <v>36</v>
      </c>
      <c r="AI2" s="13"/>
      <c r="AJ2" s="24" t="s">
        <v>25</v>
      </c>
      <c r="AK2" s="24" t="s">
        <v>26</v>
      </c>
      <c r="AL2" s="24" t="s">
        <v>27</v>
      </c>
      <c r="AM2" s="16" t="s">
        <v>37</v>
      </c>
    </row>
    <row r="3" spans="1:40" ht="15" x14ac:dyDescent="0.2">
      <c r="A3" s="25">
        <v>1</v>
      </c>
      <c r="B3" s="26" t="s">
        <v>38</v>
      </c>
      <c r="C3" s="25" t="str">
        <f t="shared" ref="C3:C33" si="0">"BLOCK "&amp;H3&amp;"X"&amp;I3&amp;"X"&amp;J3&amp;"-D"&amp;F3&amp;IF(E3="IG","-IG","")&amp;"-B"&amp;U3*100</f>
        <v>BLOCK 75X51X820-D70-B8</v>
      </c>
      <c r="D3" s="27" t="s">
        <v>39</v>
      </c>
      <c r="E3" s="27" t="s">
        <v>40</v>
      </c>
      <c r="F3" s="27">
        <v>70</v>
      </c>
      <c r="G3" s="27">
        <v>68</v>
      </c>
      <c r="H3" s="27">
        <v>75</v>
      </c>
      <c r="I3" s="27">
        <v>51</v>
      </c>
      <c r="J3" s="27">
        <v>820</v>
      </c>
      <c r="K3" s="28">
        <f t="shared" ref="K3:K33" si="1">ROUND(H3*I3*J3*0.00000064516*G3,2)</f>
        <v>137.6</v>
      </c>
      <c r="L3" s="29"/>
      <c r="M3" s="30">
        <v>0</v>
      </c>
      <c r="N3" s="31">
        <v>0.77</v>
      </c>
      <c r="O3" s="31">
        <v>0.15</v>
      </c>
      <c r="P3" s="30">
        <v>0</v>
      </c>
      <c r="Q3" s="32">
        <f t="shared" ref="Q3:Q33" si="2">SUM(M3:P3)</f>
        <v>0.92</v>
      </c>
      <c r="R3" s="33">
        <f t="shared" ref="R3:R33" si="3">U3*AJ3</f>
        <v>5.5999999999999994E-2</v>
      </c>
      <c r="S3" s="33">
        <f t="shared" ref="S3:S33" si="4">U3*AK3</f>
        <v>2.4E-2</v>
      </c>
      <c r="T3" s="33">
        <v>0</v>
      </c>
      <c r="U3" s="34">
        <v>0.08</v>
      </c>
      <c r="V3" s="30">
        <f t="shared" ref="V3:V33" si="5">Q3+U3</f>
        <v>1</v>
      </c>
      <c r="W3" s="35"/>
      <c r="X3" s="36">
        <f t="shared" ref="X3:AA33" si="6">ROUND($K3*M3,2)</f>
        <v>0</v>
      </c>
      <c r="Y3" s="36">
        <f t="shared" si="6"/>
        <v>105.95</v>
      </c>
      <c r="Z3" s="36">
        <f t="shared" si="6"/>
        <v>20.64</v>
      </c>
      <c r="AA3" s="36">
        <f t="shared" si="6"/>
        <v>0</v>
      </c>
      <c r="AB3" s="37">
        <f t="shared" ref="AB3:AB33" si="7">SUM(X3:AA3)</f>
        <v>126.59</v>
      </c>
      <c r="AC3" s="36">
        <f t="shared" ref="AC3:AE33" si="8">ROUND($K3*R3,2)</f>
        <v>7.71</v>
      </c>
      <c r="AD3" s="36">
        <f t="shared" si="8"/>
        <v>3.3</v>
      </c>
      <c r="AE3" s="36">
        <f t="shared" si="8"/>
        <v>0</v>
      </c>
      <c r="AF3" s="38">
        <f t="shared" ref="AF3:AF33" si="9">SUM(AC3:AE3)</f>
        <v>11.01</v>
      </c>
      <c r="AG3" s="38">
        <f t="shared" ref="AG3:AG33" si="10">AB3+AF3</f>
        <v>137.6</v>
      </c>
      <c r="AH3" s="39">
        <f t="shared" ref="AH3:AH33" si="11">AG3-K3</f>
        <v>0</v>
      </c>
      <c r="AI3" s="40"/>
      <c r="AJ3" s="30">
        <v>0.7</v>
      </c>
      <c r="AK3" s="30">
        <v>0.3</v>
      </c>
      <c r="AL3" s="30">
        <v>0</v>
      </c>
      <c r="AM3" s="41"/>
      <c r="AN3" s="42"/>
    </row>
    <row r="4" spans="1:40" ht="15" x14ac:dyDescent="0.2">
      <c r="A4" s="25">
        <v>2</v>
      </c>
      <c r="B4" s="26" t="s">
        <v>38</v>
      </c>
      <c r="C4" s="25" t="str">
        <f t="shared" si="0"/>
        <v>BLOCK 81X63X820-D70-B8</v>
      </c>
      <c r="D4" s="27" t="s">
        <v>41</v>
      </c>
      <c r="E4" s="27" t="s">
        <v>40</v>
      </c>
      <c r="F4" s="27">
        <v>70</v>
      </c>
      <c r="G4" s="27">
        <v>68</v>
      </c>
      <c r="H4" s="27">
        <v>81</v>
      </c>
      <c r="I4" s="27">
        <v>63</v>
      </c>
      <c r="J4" s="27">
        <v>820</v>
      </c>
      <c r="K4" s="28">
        <f t="shared" si="1"/>
        <v>183.58</v>
      </c>
      <c r="L4" s="29"/>
      <c r="M4" s="30">
        <v>0</v>
      </c>
      <c r="N4" s="31">
        <v>0.77</v>
      </c>
      <c r="O4" s="31">
        <v>0.15</v>
      </c>
      <c r="P4" s="30">
        <v>0</v>
      </c>
      <c r="Q4" s="32">
        <f t="shared" si="2"/>
        <v>0.92</v>
      </c>
      <c r="R4" s="33">
        <f t="shared" si="3"/>
        <v>5.5999999999999994E-2</v>
      </c>
      <c r="S4" s="33">
        <f t="shared" si="4"/>
        <v>2.4E-2</v>
      </c>
      <c r="T4" s="33">
        <v>0</v>
      </c>
      <c r="U4" s="34">
        <v>0.08</v>
      </c>
      <c r="V4" s="30">
        <f t="shared" si="5"/>
        <v>1</v>
      </c>
      <c r="W4" s="35"/>
      <c r="X4" s="36">
        <f t="shared" si="6"/>
        <v>0</v>
      </c>
      <c r="Y4" s="36">
        <f t="shared" si="6"/>
        <v>141.36000000000001</v>
      </c>
      <c r="Z4" s="36">
        <f t="shared" si="6"/>
        <v>27.54</v>
      </c>
      <c r="AA4" s="36">
        <f t="shared" si="6"/>
        <v>0</v>
      </c>
      <c r="AB4" s="37">
        <f t="shared" si="7"/>
        <v>168.9</v>
      </c>
      <c r="AC4" s="36">
        <f t="shared" si="8"/>
        <v>10.28</v>
      </c>
      <c r="AD4" s="36">
        <f t="shared" si="8"/>
        <v>4.41</v>
      </c>
      <c r="AE4" s="36">
        <f t="shared" si="8"/>
        <v>0</v>
      </c>
      <c r="AF4" s="38">
        <f t="shared" si="9"/>
        <v>14.69</v>
      </c>
      <c r="AG4" s="38">
        <f t="shared" si="10"/>
        <v>183.59</v>
      </c>
      <c r="AH4" s="39">
        <f t="shared" si="11"/>
        <v>9.9999999999909051E-3</v>
      </c>
      <c r="AI4" s="40"/>
      <c r="AJ4" s="30">
        <v>0.7</v>
      </c>
      <c r="AK4" s="30">
        <v>0.3</v>
      </c>
      <c r="AL4" s="30">
        <v>0</v>
      </c>
      <c r="AM4" s="41"/>
      <c r="AN4" s="42"/>
    </row>
    <row r="5" spans="1:40" ht="15" x14ac:dyDescent="0.2">
      <c r="A5" s="25">
        <v>3</v>
      </c>
      <c r="B5" s="26" t="s">
        <v>38</v>
      </c>
      <c r="C5" s="25" t="str">
        <f t="shared" si="0"/>
        <v>BLOCK 81X75X820-D70-B8</v>
      </c>
      <c r="D5" s="27" t="s">
        <v>41</v>
      </c>
      <c r="E5" s="27" t="s">
        <v>40</v>
      </c>
      <c r="F5" s="27">
        <v>70</v>
      </c>
      <c r="G5" s="27">
        <v>68</v>
      </c>
      <c r="H5" s="27">
        <v>81</v>
      </c>
      <c r="I5" s="27">
        <v>75</v>
      </c>
      <c r="J5" s="27">
        <v>820</v>
      </c>
      <c r="K5" s="28">
        <f t="shared" si="1"/>
        <v>218.54</v>
      </c>
      <c r="L5" s="29"/>
      <c r="M5" s="30">
        <v>0</v>
      </c>
      <c r="N5" s="31">
        <v>0.77</v>
      </c>
      <c r="O5" s="31">
        <v>0.15</v>
      </c>
      <c r="P5" s="30">
        <v>0</v>
      </c>
      <c r="Q5" s="32">
        <f t="shared" si="2"/>
        <v>0.92</v>
      </c>
      <c r="R5" s="33">
        <f t="shared" si="3"/>
        <v>5.5999999999999994E-2</v>
      </c>
      <c r="S5" s="33">
        <f t="shared" si="4"/>
        <v>2.4E-2</v>
      </c>
      <c r="T5" s="33">
        <v>0</v>
      </c>
      <c r="U5" s="34">
        <v>0.08</v>
      </c>
      <c r="V5" s="30">
        <f t="shared" si="5"/>
        <v>1</v>
      </c>
      <c r="W5" s="35"/>
      <c r="X5" s="36">
        <f t="shared" si="6"/>
        <v>0</v>
      </c>
      <c r="Y5" s="36">
        <f t="shared" si="6"/>
        <v>168.28</v>
      </c>
      <c r="Z5" s="36">
        <f t="shared" si="6"/>
        <v>32.78</v>
      </c>
      <c r="AA5" s="36">
        <f t="shared" si="6"/>
        <v>0</v>
      </c>
      <c r="AB5" s="37">
        <f t="shared" si="7"/>
        <v>201.06</v>
      </c>
      <c r="AC5" s="36">
        <f t="shared" si="8"/>
        <v>12.24</v>
      </c>
      <c r="AD5" s="36">
        <f t="shared" si="8"/>
        <v>5.24</v>
      </c>
      <c r="AE5" s="36">
        <f t="shared" si="8"/>
        <v>0</v>
      </c>
      <c r="AF5" s="38">
        <f t="shared" si="9"/>
        <v>17.48</v>
      </c>
      <c r="AG5" s="38">
        <f t="shared" si="10"/>
        <v>218.54</v>
      </c>
      <c r="AH5" s="39">
        <f t="shared" si="11"/>
        <v>0</v>
      </c>
      <c r="AI5" s="40"/>
      <c r="AJ5" s="30">
        <v>0.7</v>
      </c>
      <c r="AK5" s="30">
        <v>0.3</v>
      </c>
      <c r="AL5" s="30">
        <v>0</v>
      </c>
      <c r="AM5" s="41"/>
      <c r="AN5" s="42"/>
    </row>
    <row r="6" spans="1:40" ht="15" x14ac:dyDescent="0.2">
      <c r="A6" s="25">
        <v>4</v>
      </c>
      <c r="B6" s="26" t="s">
        <v>38</v>
      </c>
      <c r="C6" s="25" t="str">
        <f t="shared" si="0"/>
        <v>BLOCK 81X75X820-D70-B10</v>
      </c>
      <c r="D6" s="27" t="s">
        <v>39</v>
      </c>
      <c r="E6" s="27" t="s">
        <v>40</v>
      </c>
      <c r="F6" s="27">
        <v>70</v>
      </c>
      <c r="G6" s="27">
        <v>68</v>
      </c>
      <c r="H6" s="27">
        <v>81</v>
      </c>
      <c r="I6" s="27">
        <v>75</v>
      </c>
      <c r="J6" s="27">
        <v>820</v>
      </c>
      <c r="K6" s="28">
        <f t="shared" si="1"/>
        <v>218.54</v>
      </c>
      <c r="L6" s="29"/>
      <c r="M6" s="30">
        <v>0</v>
      </c>
      <c r="N6" s="31">
        <v>0.75</v>
      </c>
      <c r="O6" s="31">
        <v>0.15</v>
      </c>
      <c r="P6" s="30">
        <v>0</v>
      </c>
      <c r="Q6" s="32">
        <f t="shared" si="2"/>
        <v>0.9</v>
      </c>
      <c r="R6" s="33">
        <f t="shared" si="3"/>
        <v>6.9999999999999993E-2</v>
      </c>
      <c r="S6" s="33">
        <f t="shared" si="4"/>
        <v>0.03</v>
      </c>
      <c r="T6" s="33">
        <v>0</v>
      </c>
      <c r="U6" s="34">
        <v>0.1</v>
      </c>
      <c r="V6" s="30">
        <f t="shared" si="5"/>
        <v>1</v>
      </c>
      <c r="W6" s="35"/>
      <c r="X6" s="36">
        <f t="shared" si="6"/>
        <v>0</v>
      </c>
      <c r="Y6" s="36">
        <f t="shared" si="6"/>
        <v>163.91</v>
      </c>
      <c r="Z6" s="36">
        <f t="shared" si="6"/>
        <v>32.78</v>
      </c>
      <c r="AA6" s="36">
        <f t="shared" si="6"/>
        <v>0</v>
      </c>
      <c r="AB6" s="37">
        <f t="shared" si="7"/>
        <v>196.69</v>
      </c>
      <c r="AC6" s="36">
        <f t="shared" si="8"/>
        <v>15.3</v>
      </c>
      <c r="AD6" s="36">
        <f t="shared" si="8"/>
        <v>6.56</v>
      </c>
      <c r="AE6" s="36">
        <f t="shared" si="8"/>
        <v>0</v>
      </c>
      <c r="AF6" s="38">
        <f t="shared" si="9"/>
        <v>21.86</v>
      </c>
      <c r="AG6" s="38">
        <f t="shared" si="10"/>
        <v>218.55</v>
      </c>
      <c r="AH6" s="39">
        <f t="shared" si="11"/>
        <v>1.0000000000019327E-2</v>
      </c>
      <c r="AI6" s="40"/>
      <c r="AJ6" s="30">
        <v>0.7</v>
      </c>
      <c r="AK6" s="30">
        <v>0.3</v>
      </c>
      <c r="AL6" s="30">
        <v>0</v>
      </c>
      <c r="AM6" s="41"/>
      <c r="AN6" s="42"/>
    </row>
    <row r="7" spans="1:40" ht="15" x14ac:dyDescent="0.2">
      <c r="A7" s="25">
        <v>5</v>
      </c>
      <c r="B7" s="26" t="s">
        <v>38</v>
      </c>
      <c r="C7" s="25" t="str">
        <f t="shared" si="0"/>
        <v>BLOCK 81X63X820-D70-B10</v>
      </c>
      <c r="D7" s="27" t="s">
        <v>42</v>
      </c>
      <c r="E7" s="27" t="s">
        <v>40</v>
      </c>
      <c r="F7" s="27">
        <v>70</v>
      </c>
      <c r="G7" s="27">
        <v>68</v>
      </c>
      <c r="H7" s="27">
        <v>81</v>
      </c>
      <c r="I7" s="27">
        <v>63</v>
      </c>
      <c r="J7" s="27">
        <v>820</v>
      </c>
      <c r="K7" s="28">
        <f t="shared" si="1"/>
        <v>183.58</v>
      </c>
      <c r="L7" s="29"/>
      <c r="M7" s="30">
        <v>0</v>
      </c>
      <c r="N7" s="31">
        <v>0.75</v>
      </c>
      <c r="O7" s="31">
        <v>0.15</v>
      </c>
      <c r="P7" s="30">
        <v>0</v>
      </c>
      <c r="Q7" s="32">
        <f t="shared" si="2"/>
        <v>0.9</v>
      </c>
      <c r="R7" s="33">
        <f t="shared" si="3"/>
        <v>0.06</v>
      </c>
      <c r="S7" s="33">
        <f t="shared" si="4"/>
        <v>4.0000000000000008E-2</v>
      </c>
      <c r="T7" s="33">
        <v>0</v>
      </c>
      <c r="U7" s="34">
        <v>0.1</v>
      </c>
      <c r="V7" s="30">
        <f t="shared" si="5"/>
        <v>1</v>
      </c>
      <c r="W7" s="35"/>
      <c r="X7" s="36">
        <f t="shared" si="6"/>
        <v>0</v>
      </c>
      <c r="Y7" s="36">
        <f t="shared" si="6"/>
        <v>137.69</v>
      </c>
      <c r="Z7" s="36">
        <f t="shared" si="6"/>
        <v>27.54</v>
      </c>
      <c r="AA7" s="36">
        <f t="shared" si="6"/>
        <v>0</v>
      </c>
      <c r="AB7" s="37">
        <f t="shared" si="7"/>
        <v>165.23</v>
      </c>
      <c r="AC7" s="36">
        <f t="shared" si="8"/>
        <v>11.01</v>
      </c>
      <c r="AD7" s="36">
        <f t="shared" si="8"/>
        <v>7.34</v>
      </c>
      <c r="AE7" s="36">
        <f t="shared" si="8"/>
        <v>0</v>
      </c>
      <c r="AF7" s="38">
        <f t="shared" si="9"/>
        <v>18.350000000000001</v>
      </c>
      <c r="AG7" s="38">
        <f t="shared" si="10"/>
        <v>183.57999999999998</v>
      </c>
      <c r="AH7" s="39">
        <f t="shared" si="11"/>
        <v>0</v>
      </c>
      <c r="AI7" s="40"/>
      <c r="AJ7" s="30">
        <v>0.6</v>
      </c>
      <c r="AK7" s="30">
        <v>0.4</v>
      </c>
      <c r="AL7" s="30">
        <v>0</v>
      </c>
      <c r="AM7" s="41"/>
      <c r="AN7" s="42"/>
    </row>
    <row r="8" spans="1:40" ht="15" x14ac:dyDescent="0.2">
      <c r="A8" s="25">
        <v>6</v>
      </c>
      <c r="B8" s="26" t="s">
        <v>38</v>
      </c>
      <c r="C8" s="25" t="str">
        <f t="shared" si="0"/>
        <v>BLOCK 81X51X820-D70-B10</v>
      </c>
      <c r="D8" s="27" t="s">
        <v>42</v>
      </c>
      <c r="E8" s="27" t="s">
        <v>40</v>
      </c>
      <c r="F8" s="27">
        <v>70</v>
      </c>
      <c r="G8" s="27">
        <v>68</v>
      </c>
      <c r="H8" s="27">
        <v>81</v>
      </c>
      <c r="I8" s="27">
        <v>51</v>
      </c>
      <c r="J8" s="27">
        <v>820</v>
      </c>
      <c r="K8" s="28">
        <f t="shared" si="1"/>
        <v>148.61000000000001</v>
      </c>
      <c r="L8" s="29"/>
      <c r="M8" s="30">
        <v>0</v>
      </c>
      <c r="N8" s="31">
        <v>0.75</v>
      </c>
      <c r="O8" s="31">
        <v>0.15</v>
      </c>
      <c r="P8" s="30">
        <v>0</v>
      </c>
      <c r="Q8" s="32">
        <f t="shared" si="2"/>
        <v>0.9</v>
      </c>
      <c r="R8" s="33">
        <f t="shared" si="3"/>
        <v>0.06</v>
      </c>
      <c r="S8" s="33">
        <f t="shared" si="4"/>
        <v>4.0000000000000008E-2</v>
      </c>
      <c r="T8" s="33">
        <v>0</v>
      </c>
      <c r="U8" s="34">
        <v>0.1</v>
      </c>
      <c r="V8" s="30">
        <f t="shared" si="5"/>
        <v>1</v>
      </c>
      <c r="W8" s="35"/>
      <c r="X8" s="36">
        <f t="shared" si="6"/>
        <v>0</v>
      </c>
      <c r="Y8" s="36">
        <f t="shared" si="6"/>
        <v>111.46</v>
      </c>
      <c r="Z8" s="36">
        <f t="shared" si="6"/>
        <v>22.29</v>
      </c>
      <c r="AA8" s="36">
        <f t="shared" si="6"/>
        <v>0</v>
      </c>
      <c r="AB8" s="37">
        <f t="shared" si="7"/>
        <v>133.75</v>
      </c>
      <c r="AC8" s="36">
        <f t="shared" si="8"/>
        <v>8.92</v>
      </c>
      <c r="AD8" s="36">
        <f t="shared" si="8"/>
        <v>5.94</v>
      </c>
      <c r="AE8" s="36">
        <f t="shared" si="8"/>
        <v>0</v>
      </c>
      <c r="AF8" s="38">
        <f t="shared" si="9"/>
        <v>14.86</v>
      </c>
      <c r="AG8" s="38">
        <f t="shared" si="10"/>
        <v>148.61000000000001</v>
      </c>
      <c r="AH8" s="39">
        <f t="shared" si="11"/>
        <v>0</v>
      </c>
      <c r="AI8" s="40"/>
      <c r="AJ8" s="30">
        <v>0.6</v>
      </c>
      <c r="AK8" s="30">
        <v>0.4</v>
      </c>
      <c r="AL8" s="30">
        <v>0</v>
      </c>
      <c r="AM8" s="41"/>
      <c r="AN8" s="42"/>
    </row>
    <row r="9" spans="1:40" ht="15" x14ac:dyDescent="0.2">
      <c r="A9" s="25">
        <v>7</v>
      </c>
      <c r="B9" s="26" t="s">
        <v>38</v>
      </c>
      <c r="C9" s="25" t="str">
        <f t="shared" si="0"/>
        <v>BLOCK 79X63X820-D70-IG-B13</v>
      </c>
      <c r="D9" s="43" t="s">
        <v>43</v>
      </c>
      <c r="E9" s="43" t="s">
        <v>44</v>
      </c>
      <c r="F9" s="27">
        <v>70</v>
      </c>
      <c r="G9" s="27">
        <v>68</v>
      </c>
      <c r="H9" s="27">
        <v>79</v>
      </c>
      <c r="I9" s="27">
        <v>63</v>
      </c>
      <c r="J9" s="27">
        <v>820</v>
      </c>
      <c r="K9" s="28">
        <f t="shared" si="1"/>
        <v>179.04</v>
      </c>
      <c r="L9" s="29"/>
      <c r="M9" s="30">
        <v>0</v>
      </c>
      <c r="N9" s="31">
        <v>0.72</v>
      </c>
      <c r="O9" s="31">
        <v>0.15</v>
      </c>
      <c r="P9" s="30">
        <v>0</v>
      </c>
      <c r="Q9" s="32">
        <f t="shared" si="2"/>
        <v>0.87</v>
      </c>
      <c r="R9" s="44">
        <f t="shared" si="3"/>
        <v>9.0999999999999998E-2</v>
      </c>
      <c r="S9" s="44">
        <f t="shared" si="4"/>
        <v>3.9E-2</v>
      </c>
      <c r="T9" s="33">
        <v>0</v>
      </c>
      <c r="U9" s="34">
        <v>0.13</v>
      </c>
      <c r="V9" s="30">
        <f t="shared" si="5"/>
        <v>1</v>
      </c>
      <c r="W9" s="35"/>
      <c r="X9" s="36">
        <f t="shared" si="6"/>
        <v>0</v>
      </c>
      <c r="Y9" s="36">
        <f t="shared" si="6"/>
        <v>128.91</v>
      </c>
      <c r="Z9" s="36">
        <f t="shared" si="6"/>
        <v>26.86</v>
      </c>
      <c r="AA9" s="36">
        <f t="shared" si="6"/>
        <v>0</v>
      </c>
      <c r="AB9" s="37">
        <f t="shared" si="7"/>
        <v>155.76999999999998</v>
      </c>
      <c r="AC9" s="36">
        <f t="shared" si="8"/>
        <v>16.29</v>
      </c>
      <c r="AD9" s="36">
        <f t="shared" si="8"/>
        <v>6.98</v>
      </c>
      <c r="AE9" s="36">
        <f t="shared" si="8"/>
        <v>0</v>
      </c>
      <c r="AF9" s="38">
        <f t="shared" si="9"/>
        <v>23.27</v>
      </c>
      <c r="AG9" s="38">
        <f t="shared" si="10"/>
        <v>179.04</v>
      </c>
      <c r="AH9" s="39">
        <f t="shared" si="11"/>
        <v>0</v>
      </c>
      <c r="AI9" s="40"/>
      <c r="AJ9" s="30">
        <v>0.7</v>
      </c>
      <c r="AK9" s="30">
        <v>0.3</v>
      </c>
      <c r="AL9" s="30">
        <v>0</v>
      </c>
      <c r="AM9" s="41"/>
      <c r="AN9" s="42"/>
    </row>
    <row r="10" spans="1:40" ht="15" x14ac:dyDescent="0.2">
      <c r="A10" s="25">
        <v>8</v>
      </c>
      <c r="B10" s="26" t="s">
        <v>38</v>
      </c>
      <c r="C10" s="25" t="str">
        <f t="shared" si="0"/>
        <v>BLOCK 79X75X820-D70-IG-B13</v>
      </c>
      <c r="D10" s="43" t="s">
        <v>43</v>
      </c>
      <c r="E10" s="43" t="s">
        <v>44</v>
      </c>
      <c r="F10" s="27">
        <v>70</v>
      </c>
      <c r="G10" s="27">
        <v>68</v>
      </c>
      <c r="H10" s="27">
        <v>79</v>
      </c>
      <c r="I10" s="27">
        <v>75</v>
      </c>
      <c r="J10" s="27">
        <v>820</v>
      </c>
      <c r="K10" s="28">
        <f t="shared" si="1"/>
        <v>213.15</v>
      </c>
      <c r="L10" s="29"/>
      <c r="M10" s="30">
        <v>0</v>
      </c>
      <c r="N10" s="31">
        <v>0.72</v>
      </c>
      <c r="O10" s="31">
        <v>0.15</v>
      </c>
      <c r="P10" s="30">
        <v>0</v>
      </c>
      <c r="Q10" s="32">
        <f t="shared" si="2"/>
        <v>0.87</v>
      </c>
      <c r="R10" s="44">
        <f t="shared" si="3"/>
        <v>9.0999999999999998E-2</v>
      </c>
      <c r="S10" s="44">
        <f t="shared" si="4"/>
        <v>3.9E-2</v>
      </c>
      <c r="T10" s="33">
        <v>0</v>
      </c>
      <c r="U10" s="34">
        <v>0.13</v>
      </c>
      <c r="V10" s="30">
        <f t="shared" si="5"/>
        <v>1</v>
      </c>
      <c r="W10" s="35"/>
      <c r="X10" s="36">
        <f t="shared" si="6"/>
        <v>0</v>
      </c>
      <c r="Y10" s="36">
        <f t="shared" si="6"/>
        <v>153.47</v>
      </c>
      <c r="Z10" s="36">
        <f t="shared" si="6"/>
        <v>31.97</v>
      </c>
      <c r="AA10" s="36">
        <f t="shared" si="6"/>
        <v>0</v>
      </c>
      <c r="AB10" s="37">
        <f t="shared" si="7"/>
        <v>185.44</v>
      </c>
      <c r="AC10" s="36">
        <f t="shared" si="8"/>
        <v>19.399999999999999</v>
      </c>
      <c r="AD10" s="36">
        <f t="shared" si="8"/>
        <v>8.31</v>
      </c>
      <c r="AE10" s="36">
        <f t="shared" si="8"/>
        <v>0</v>
      </c>
      <c r="AF10" s="38">
        <f t="shared" si="9"/>
        <v>27.71</v>
      </c>
      <c r="AG10" s="38">
        <f t="shared" si="10"/>
        <v>213.15</v>
      </c>
      <c r="AH10" s="39">
        <f t="shared" si="11"/>
        <v>0</v>
      </c>
      <c r="AI10" s="40"/>
      <c r="AJ10" s="30">
        <v>0.7</v>
      </c>
      <c r="AK10" s="30">
        <v>0.3</v>
      </c>
      <c r="AL10" s="30">
        <v>0</v>
      </c>
      <c r="AM10" s="41"/>
      <c r="AN10" s="42"/>
    </row>
    <row r="11" spans="1:40" ht="15" x14ac:dyDescent="0.2">
      <c r="A11" s="25">
        <v>9</v>
      </c>
      <c r="B11" s="26" t="s">
        <v>38</v>
      </c>
      <c r="C11" s="25" t="str">
        <f t="shared" si="0"/>
        <v>BLOCK 79X63X820-D80-IG-B12</v>
      </c>
      <c r="D11" s="43" t="s">
        <v>43</v>
      </c>
      <c r="E11" s="43" t="s">
        <v>44</v>
      </c>
      <c r="F11" s="27">
        <v>80</v>
      </c>
      <c r="G11" s="27">
        <v>77</v>
      </c>
      <c r="H11" s="27">
        <v>79</v>
      </c>
      <c r="I11" s="27">
        <v>63</v>
      </c>
      <c r="J11" s="27">
        <v>820</v>
      </c>
      <c r="K11" s="28">
        <f t="shared" si="1"/>
        <v>202.74</v>
      </c>
      <c r="L11" s="29"/>
      <c r="M11" s="30">
        <v>0</v>
      </c>
      <c r="N11" s="31">
        <v>0.68</v>
      </c>
      <c r="O11" s="31">
        <v>0.2</v>
      </c>
      <c r="P11" s="30">
        <v>0</v>
      </c>
      <c r="Q11" s="32">
        <f t="shared" si="2"/>
        <v>0.88000000000000012</v>
      </c>
      <c r="R11" s="44">
        <f t="shared" si="3"/>
        <v>8.3999999999999991E-2</v>
      </c>
      <c r="S11" s="44">
        <f t="shared" si="4"/>
        <v>3.5999999999999997E-2</v>
      </c>
      <c r="T11" s="33">
        <v>0</v>
      </c>
      <c r="U11" s="34">
        <v>0.12</v>
      </c>
      <c r="V11" s="30">
        <f t="shared" si="5"/>
        <v>1</v>
      </c>
      <c r="W11" s="35"/>
      <c r="X11" s="36">
        <f t="shared" si="6"/>
        <v>0</v>
      </c>
      <c r="Y11" s="36">
        <f t="shared" si="6"/>
        <v>137.86000000000001</v>
      </c>
      <c r="Z11" s="36">
        <f t="shared" si="6"/>
        <v>40.549999999999997</v>
      </c>
      <c r="AA11" s="36">
        <f t="shared" si="6"/>
        <v>0</v>
      </c>
      <c r="AB11" s="37">
        <f t="shared" si="7"/>
        <v>178.41000000000003</v>
      </c>
      <c r="AC11" s="36">
        <f t="shared" si="8"/>
        <v>17.03</v>
      </c>
      <c r="AD11" s="36">
        <f t="shared" si="8"/>
        <v>7.3</v>
      </c>
      <c r="AE11" s="36">
        <f t="shared" si="8"/>
        <v>0</v>
      </c>
      <c r="AF11" s="38">
        <f t="shared" si="9"/>
        <v>24.330000000000002</v>
      </c>
      <c r="AG11" s="38">
        <f t="shared" si="10"/>
        <v>202.74000000000004</v>
      </c>
      <c r="AH11" s="39">
        <f t="shared" si="11"/>
        <v>0</v>
      </c>
      <c r="AI11" s="40"/>
      <c r="AJ11" s="30">
        <v>0.7</v>
      </c>
      <c r="AK11" s="30">
        <v>0.3</v>
      </c>
      <c r="AL11" s="30">
        <v>0</v>
      </c>
      <c r="AM11" s="41"/>
      <c r="AN11" s="42"/>
    </row>
    <row r="12" spans="1:40" ht="15" x14ac:dyDescent="0.2">
      <c r="A12" s="25">
        <v>10</v>
      </c>
      <c r="B12" s="26" t="s">
        <v>38</v>
      </c>
      <c r="C12" s="25" t="str">
        <f t="shared" si="0"/>
        <v>BLOCK 79X75X820-D80-IG-B12</v>
      </c>
      <c r="D12" s="43" t="s">
        <v>43</v>
      </c>
      <c r="E12" s="43" t="s">
        <v>44</v>
      </c>
      <c r="F12" s="27">
        <v>80</v>
      </c>
      <c r="G12" s="27">
        <v>77</v>
      </c>
      <c r="H12" s="27">
        <v>79</v>
      </c>
      <c r="I12" s="27">
        <v>75</v>
      </c>
      <c r="J12" s="27">
        <v>820</v>
      </c>
      <c r="K12" s="28">
        <f t="shared" si="1"/>
        <v>241.36</v>
      </c>
      <c r="L12" s="29"/>
      <c r="M12" s="30">
        <v>0</v>
      </c>
      <c r="N12" s="31">
        <v>0.68</v>
      </c>
      <c r="O12" s="31">
        <v>0.2</v>
      </c>
      <c r="P12" s="30">
        <v>0</v>
      </c>
      <c r="Q12" s="32">
        <f t="shared" si="2"/>
        <v>0.88000000000000012</v>
      </c>
      <c r="R12" s="44">
        <f t="shared" si="3"/>
        <v>8.3999999999999991E-2</v>
      </c>
      <c r="S12" s="44">
        <f t="shared" si="4"/>
        <v>3.5999999999999997E-2</v>
      </c>
      <c r="T12" s="33">
        <v>0</v>
      </c>
      <c r="U12" s="34">
        <v>0.12</v>
      </c>
      <c r="V12" s="30">
        <f t="shared" si="5"/>
        <v>1</v>
      </c>
      <c r="W12" s="35"/>
      <c r="X12" s="36">
        <f t="shared" si="6"/>
        <v>0</v>
      </c>
      <c r="Y12" s="36">
        <f t="shared" si="6"/>
        <v>164.12</v>
      </c>
      <c r="Z12" s="36">
        <f t="shared" si="6"/>
        <v>48.27</v>
      </c>
      <c r="AA12" s="36">
        <f t="shared" si="6"/>
        <v>0</v>
      </c>
      <c r="AB12" s="37">
        <f t="shared" si="7"/>
        <v>212.39000000000001</v>
      </c>
      <c r="AC12" s="36">
        <f t="shared" si="8"/>
        <v>20.27</v>
      </c>
      <c r="AD12" s="36">
        <f t="shared" si="8"/>
        <v>8.69</v>
      </c>
      <c r="AE12" s="36">
        <f t="shared" si="8"/>
        <v>0</v>
      </c>
      <c r="AF12" s="38">
        <f t="shared" si="9"/>
        <v>28.96</v>
      </c>
      <c r="AG12" s="38">
        <f t="shared" si="10"/>
        <v>241.35000000000002</v>
      </c>
      <c r="AH12" s="39">
        <f t="shared" si="11"/>
        <v>-9.9999999999909051E-3</v>
      </c>
      <c r="AI12" s="40"/>
      <c r="AJ12" s="30">
        <v>0.7</v>
      </c>
      <c r="AK12" s="30">
        <v>0.3</v>
      </c>
      <c r="AL12" s="30">
        <v>0</v>
      </c>
      <c r="AM12" s="41"/>
      <c r="AN12" s="42"/>
    </row>
    <row r="13" spans="1:40" ht="15" x14ac:dyDescent="0.2">
      <c r="A13" s="25">
        <v>11</v>
      </c>
      <c r="B13" s="26" t="s">
        <v>38</v>
      </c>
      <c r="C13" s="25" t="str">
        <f t="shared" si="0"/>
        <v>BLOCK 75X51X820-D70-B12</v>
      </c>
      <c r="D13" s="27" t="s">
        <v>45</v>
      </c>
      <c r="E13" s="27" t="s">
        <v>40</v>
      </c>
      <c r="F13" s="27">
        <v>70</v>
      </c>
      <c r="G13" s="27">
        <v>68</v>
      </c>
      <c r="H13" s="27">
        <v>75</v>
      </c>
      <c r="I13" s="27">
        <v>51</v>
      </c>
      <c r="J13" s="27">
        <v>820</v>
      </c>
      <c r="K13" s="28">
        <f t="shared" si="1"/>
        <v>137.6</v>
      </c>
      <c r="L13" s="29"/>
      <c r="M13" s="30">
        <v>0</v>
      </c>
      <c r="N13" s="31">
        <v>0.73</v>
      </c>
      <c r="O13" s="31">
        <v>0.15</v>
      </c>
      <c r="P13" s="30">
        <v>0</v>
      </c>
      <c r="Q13" s="32">
        <f t="shared" si="2"/>
        <v>0.88</v>
      </c>
      <c r="R13" s="44">
        <f t="shared" si="3"/>
        <v>8.3999999999999991E-2</v>
      </c>
      <c r="S13" s="44">
        <f t="shared" si="4"/>
        <v>3.5999999999999997E-2</v>
      </c>
      <c r="T13" s="33">
        <v>0</v>
      </c>
      <c r="U13" s="34">
        <v>0.12</v>
      </c>
      <c r="V13" s="30">
        <f t="shared" si="5"/>
        <v>1</v>
      </c>
      <c r="W13" s="35"/>
      <c r="X13" s="36">
        <f t="shared" si="6"/>
        <v>0</v>
      </c>
      <c r="Y13" s="36">
        <f t="shared" si="6"/>
        <v>100.45</v>
      </c>
      <c r="Z13" s="36">
        <f t="shared" si="6"/>
        <v>20.64</v>
      </c>
      <c r="AA13" s="36">
        <f t="shared" si="6"/>
        <v>0</v>
      </c>
      <c r="AB13" s="37">
        <f t="shared" si="7"/>
        <v>121.09</v>
      </c>
      <c r="AC13" s="36">
        <f t="shared" si="8"/>
        <v>11.56</v>
      </c>
      <c r="AD13" s="36">
        <f t="shared" si="8"/>
        <v>4.95</v>
      </c>
      <c r="AE13" s="36">
        <f t="shared" si="8"/>
        <v>0</v>
      </c>
      <c r="AF13" s="38">
        <f t="shared" si="9"/>
        <v>16.510000000000002</v>
      </c>
      <c r="AG13" s="38">
        <f t="shared" si="10"/>
        <v>137.6</v>
      </c>
      <c r="AH13" s="39">
        <f t="shared" si="11"/>
        <v>0</v>
      </c>
      <c r="AI13" s="40"/>
      <c r="AJ13" s="30">
        <v>0.7</v>
      </c>
      <c r="AK13" s="30">
        <v>0.3</v>
      </c>
      <c r="AL13" s="30">
        <v>0</v>
      </c>
      <c r="AM13" s="41"/>
      <c r="AN13" s="42"/>
    </row>
    <row r="14" spans="1:40" ht="15" x14ac:dyDescent="0.2">
      <c r="A14" s="25">
        <v>12</v>
      </c>
      <c r="B14" s="26" t="s">
        <v>38</v>
      </c>
      <c r="C14" s="25" t="str">
        <f>"BLOCK "&amp;H14&amp;"X"&amp;I14&amp;"X"&amp;J14&amp;"-D"&amp;F14&amp;IF(E14="IG","-IG","")&amp;"-B"&amp;U14*100</f>
        <v>BLOCK 75X63X820-D70-B12</v>
      </c>
      <c r="D14" s="27" t="s">
        <v>45</v>
      </c>
      <c r="E14" s="27" t="s">
        <v>40</v>
      </c>
      <c r="F14" s="27">
        <v>70</v>
      </c>
      <c r="G14" s="27">
        <v>68</v>
      </c>
      <c r="H14" s="27">
        <v>75</v>
      </c>
      <c r="I14" s="27">
        <v>63</v>
      </c>
      <c r="J14" s="27">
        <v>820</v>
      </c>
      <c r="K14" s="28">
        <f t="shared" si="1"/>
        <v>169.98</v>
      </c>
      <c r="L14" s="29"/>
      <c r="M14" s="30">
        <v>0</v>
      </c>
      <c r="N14" s="31">
        <v>0.73</v>
      </c>
      <c r="O14" s="31">
        <v>0.15</v>
      </c>
      <c r="P14" s="30">
        <v>0</v>
      </c>
      <c r="Q14" s="32">
        <f t="shared" si="2"/>
        <v>0.88</v>
      </c>
      <c r="R14" s="44">
        <f t="shared" si="3"/>
        <v>8.3999999999999991E-2</v>
      </c>
      <c r="S14" s="44">
        <f t="shared" si="4"/>
        <v>3.5999999999999997E-2</v>
      </c>
      <c r="T14" s="33">
        <v>0</v>
      </c>
      <c r="U14" s="34">
        <v>0.12</v>
      </c>
      <c r="V14" s="30">
        <f t="shared" si="5"/>
        <v>1</v>
      </c>
      <c r="W14" s="35"/>
      <c r="X14" s="36">
        <f t="shared" si="6"/>
        <v>0</v>
      </c>
      <c r="Y14" s="36">
        <f t="shared" si="6"/>
        <v>124.09</v>
      </c>
      <c r="Z14" s="36">
        <f t="shared" si="6"/>
        <v>25.5</v>
      </c>
      <c r="AA14" s="36">
        <f t="shared" si="6"/>
        <v>0</v>
      </c>
      <c r="AB14" s="37">
        <f t="shared" si="7"/>
        <v>149.59</v>
      </c>
      <c r="AC14" s="36">
        <f t="shared" si="8"/>
        <v>14.28</v>
      </c>
      <c r="AD14" s="36">
        <f t="shared" si="8"/>
        <v>6.12</v>
      </c>
      <c r="AE14" s="36">
        <f t="shared" si="8"/>
        <v>0</v>
      </c>
      <c r="AF14" s="38">
        <f t="shared" si="9"/>
        <v>20.399999999999999</v>
      </c>
      <c r="AG14" s="38">
        <f t="shared" si="10"/>
        <v>169.99</v>
      </c>
      <c r="AH14" s="39">
        <f t="shared" si="11"/>
        <v>1.0000000000019327E-2</v>
      </c>
      <c r="AI14" s="40"/>
      <c r="AJ14" s="30">
        <v>0.7</v>
      </c>
      <c r="AK14" s="30">
        <v>0.3</v>
      </c>
      <c r="AL14" s="30">
        <v>0</v>
      </c>
      <c r="AM14" s="41"/>
      <c r="AN14" s="42"/>
    </row>
    <row r="15" spans="1:40" ht="15" x14ac:dyDescent="0.2">
      <c r="A15" s="25">
        <v>13</v>
      </c>
      <c r="B15" s="26" t="s">
        <v>38</v>
      </c>
      <c r="C15" s="25" t="str">
        <f t="shared" si="0"/>
        <v>BLOCK 75X75X820-D70-B12</v>
      </c>
      <c r="D15" s="27" t="s">
        <v>45</v>
      </c>
      <c r="E15" s="27" t="s">
        <v>40</v>
      </c>
      <c r="F15" s="27">
        <v>70</v>
      </c>
      <c r="G15" s="27">
        <v>68</v>
      </c>
      <c r="H15" s="27">
        <v>75</v>
      </c>
      <c r="I15" s="27">
        <v>75</v>
      </c>
      <c r="J15" s="27">
        <v>820</v>
      </c>
      <c r="K15" s="28">
        <f t="shared" si="1"/>
        <v>202.35</v>
      </c>
      <c r="L15" s="29"/>
      <c r="M15" s="30">
        <v>0</v>
      </c>
      <c r="N15" s="31">
        <v>0.73</v>
      </c>
      <c r="O15" s="31">
        <v>0.15</v>
      </c>
      <c r="P15" s="30">
        <v>0</v>
      </c>
      <c r="Q15" s="32">
        <f t="shared" si="2"/>
        <v>0.88</v>
      </c>
      <c r="R15" s="44">
        <f t="shared" si="3"/>
        <v>8.3999999999999991E-2</v>
      </c>
      <c r="S15" s="44">
        <f t="shared" si="4"/>
        <v>3.5999999999999997E-2</v>
      </c>
      <c r="T15" s="33">
        <v>0</v>
      </c>
      <c r="U15" s="34">
        <v>0.12</v>
      </c>
      <c r="V15" s="30">
        <f t="shared" si="5"/>
        <v>1</v>
      </c>
      <c r="W15" s="35"/>
      <c r="X15" s="36">
        <f t="shared" si="6"/>
        <v>0</v>
      </c>
      <c r="Y15" s="36">
        <f t="shared" si="6"/>
        <v>147.72</v>
      </c>
      <c r="Z15" s="36">
        <f t="shared" si="6"/>
        <v>30.35</v>
      </c>
      <c r="AA15" s="36">
        <f t="shared" si="6"/>
        <v>0</v>
      </c>
      <c r="AB15" s="37">
        <f t="shared" si="7"/>
        <v>178.07</v>
      </c>
      <c r="AC15" s="36">
        <f t="shared" si="8"/>
        <v>17</v>
      </c>
      <c r="AD15" s="36">
        <f t="shared" si="8"/>
        <v>7.28</v>
      </c>
      <c r="AE15" s="36">
        <f t="shared" si="8"/>
        <v>0</v>
      </c>
      <c r="AF15" s="38">
        <f t="shared" si="9"/>
        <v>24.28</v>
      </c>
      <c r="AG15" s="38">
        <f t="shared" si="10"/>
        <v>202.35</v>
      </c>
      <c r="AH15" s="39">
        <f t="shared" si="11"/>
        <v>0</v>
      </c>
      <c r="AI15" s="40"/>
      <c r="AJ15" s="30">
        <v>0.7</v>
      </c>
      <c r="AK15" s="30">
        <v>0.3</v>
      </c>
      <c r="AL15" s="30">
        <v>0</v>
      </c>
      <c r="AM15" s="41"/>
      <c r="AN15" s="42"/>
    </row>
    <row r="16" spans="1:40" ht="15" x14ac:dyDescent="0.2">
      <c r="A16" s="25">
        <v>14</v>
      </c>
      <c r="B16" s="26" t="s">
        <v>38</v>
      </c>
      <c r="C16" s="25" t="str">
        <f t="shared" si="0"/>
        <v>BLOCK 79X51X820-D70-B12</v>
      </c>
      <c r="D16" s="27" t="s">
        <v>45</v>
      </c>
      <c r="E16" s="27" t="s">
        <v>40</v>
      </c>
      <c r="F16" s="27">
        <v>70</v>
      </c>
      <c r="G16" s="27">
        <v>68</v>
      </c>
      <c r="H16" s="27">
        <v>79</v>
      </c>
      <c r="I16" s="27">
        <v>51</v>
      </c>
      <c r="J16" s="27">
        <v>820</v>
      </c>
      <c r="K16" s="28">
        <f t="shared" si="1"/>
        <v>144.94</v>
      </c>
      <c r="L16" s="29"/>
      <c r="M16" s="30">
        <v>0</v>
      </c>
      <c r="N16" s="31">
        <v>0.73</v>
      </c>
      <c r="O16" s="31">
        <v>0.15</v>
      </c>
      <c r="P16" s="30">
        <v>0</v>
      </c>
      <c r="Q16" s="32">
        <f t="shared" si="2"/>
        <v>0.88</v>
      </c>
      <c r="R16" s="44">
        <f t="shared" si="3"/>
        <v>8.3999999999999991E-2</v>
      </c>
      <c r="S16" s="44">
        <f t="shared" si="4"/>
        <v>3.5999999999999997E-2</v>
      </c>
      <c r="T16" s="33">
        <v>0</v>
      </c>
      <c r="U16" s="34">
        <v>0.12</v>
      </c>
      <c r="V16" s="30">
        <f t="shared" si="5"/>
        <v>1</v>
      </c>
      <c r="W16" s="35"/>
      <c r="X16" s="36">
        <f t="shared" si="6"/>
        <v>0</v>
      </c>
      <c r="Y16" s="36">
        <f t="shared" si="6"/>
        <v>105.81</v>
      </c>
      <c r="Z16" s="36">
        <f t="shared" si="6"/>
        <v>21.74</v>
      </c>
      <c r="AA16" s="36">
        <f t="shared" si="6"/>
        <v>0</v>
      </c>
      <c r="AB16" s="37">
        <f t="shared" si="7"/>
        <v>127.55</v>
      </c>
      <c r="AC16" s="36">
        <f t="shared" si="8"/>
        <v>12.17</v>
      </c>
      <c r="AD16" s="36">
        <f t="shared" si="8"/>
        <v>5.22</v>
      </c>
      <c r="AE16" s="36">
        <f t="shared" si="8"/>
        <v>0</v>
      </c>
      <c r="AF16" s="38">
        <f t="shared" si="9"/>
        <v>17.39</v>
      </c>
      <c r="AG16" s="38">
        <f t="shared" si="10"/>
        <v>144.94</v>
      </c>
      <c r="AH16" s="39">
        <f t="shared" si="11"/>
        <v>0</v>
      </c>
      <c r="AI16" s="40"/>
      <c r="AJ16" s="30">
        <v>0.7</v>
      </c>
      <c r="AK16" s="30">
        <v>0.3</v>
      </c>
      <c r="AL16" s="30">
        <v>0</v>
      </c>
      <c r="AM16" s="41"/>
      <c r="AN16" s="42"/>
    </row>
    <row r="17" spans="1:40" ht="15" x14ac:dyDescent="0.2">
      <c r="A17" s="25">
        <v>15</v>
      </c>
      <c r="B17" s="26" t="s">
        <v>38</v>
      </c>
      <c r="C17" s="25" t="str">
        <f t="shared" si="0"/>
        <v>BLOCK 79X63X820-D70-B12</v>
      </c>
      <c r="D17" s="27" t="s">
        <v>45</v>
      </c>
      <c r="E17" s="27" t="s">
        <v>40</v>
      </c>
      <c r="F17" s="27">
        <v>70</v>
      </c>
      <c r="G17" s="27">
        <v>68</v>
      </c>
      <c r="H17" s="27">
        <v>79</v>
      </c>
      <c r="I17" s="27">
        <v>63</v>
      </c>
      <c r="J17" s="27">
        <v>820</v>
      </c>
      <c r="K17" s="28">
        <f t="shared" si="1"/>
        <v>179.04</v>
      </c>
      <c r="L17" s="29"/>
      <c r="M17" s="30">
        <v>0</v>
      </c>
      <c r="N17" s="31">
        <v>0.73</v>
      </c>
      <c r="O17" s="31">
        <v>0.15</v>
      </c>
      <c r="P17" s="30">
        <v>0</v>
      </c>
      <c r="Q17" s="32">
        <f t="shared" si="2"/>
        <v>0.88</v>
      </c>
      <c r="R17" s="44">
        <f t="shared" si="3"/>
        <v>8.3999999999999991E-2</v>
      </c>
      <c r="S17" s="44">
        <f t="shared" si="4"/>
        <v>3.5999999999999997E-2</v>
      </c>
      <c r="T17" s="33">
        <v>0</v>
      </c>
      <c r="U17" s="34">
        <v>0.12</v>
      </c>
      <c r="V17" s="30">
        <f t="shared" si="5"/>
        <v>1</v>
      </c>
      <c r="W17" s="35"/>
      <c r="X17" s="36">
        <f t="shared" si="6"/>
        <v>0</v>
      </c>
      <c r="Y17" s="36">
        <f t="shared" si="6"/>
        <v>130.69999999999999</v>
      </c>
      <c r="Z17" s="36">
        <f t="shared" si="6"/>
        <v>26.86</v>
      </c>
      <c r="AA17" s="36">
        <f t="shared" si="6"/>
        <v>0</v>
      </c>
      <c r="AB17" s="37">
        <f t="shared" si="7"/>
        <v>157.56</v>
      </c>
      <c r="AC17" s="36">
        <f t="shared" si="8"/>
        <v>15.04</v>
      </c>
      <c r="AD17" s="36">
        <f t="shared" si="8"/>
        <v>6.45</v>
      </c>
      <c r="AE17" s="36">
        <f t="shared" si="8"/>
        <v>0</v>
      </c>
      <c r="AF17" s="38">
        <f t="shared" si="9"/>
        <v>21.49</v>
      </c>
      <c r="AG17" s="38">
        <f t="shared" si="10"/>
        <v>179.05</v>
      </c>
      <c r="AH17" s="39">
        <f t="shared" si="11"/>
        <v>1.0000000000019327E-2</v>
      </c>
      <c r="AI17" s="40"/>
      <c r="AJ17" s="30">
        <v>0.7</v>
      </c>
      <c r="AK17" s="30">
        <v>0.3</v>
      </c>
      <c r="AL17" s="30">
        <v>0</v>
      </c>
      <c r="AM17" s="41"/>
      <c r="AN17" s="42"/>
    </row>
    <row r="18" spans="1:40" ht="15" x14ac:dyDescent="0.2">
      <c r="A18" s="25">
        <v>16</v>
      </c>
      <c r="B18" s="26" t="s">
        <v>38</v>
      </c>
      <c r="C18" s="25" t="str">
        <f t="shared" si="0"/>
        <v>BLOCK 79X75X820-D70-B12</v>
      </c>
      <c r="D18" s="27" t="s">
        <v>45</v>
      </c>
      <c r="E18" s="27" t="s">
        <v>40</v>
      </c>
      <c r="F18" s="27">
        <v>70</v>
      </c>
      <c r="G18" s="27">
        <v>68</v>
      </c>
      <c r="H18" s="27">
        <v>79</v>
      </c>
      <c r="I18" s="27">
        <v>75</v>
      </c>
      <c r="J18" s="27">
        <v>820</v>
      </c>
      <c r="K18" s="28">
        <f t="shared" si="1"/>
        <v>213.15</v>
      </c>
      <c r="L18" s="29"/>
      <c r="M18" s="30">
        <v>0</v>
      </c>
      <c r="N18" s="31">
        <v>0.73</v>
      </c>
      <c r="O18" s="31">
        <v>0.15</v>
      </c>
      <c r="P18" s="30">
        <v>0</v>
      </c>
      <c r="Q18" s="32">
        <f t="shared" si="2"/>
        <v>0.88</v>
      </c>
      <c r="R18" s="44">
        <f t="shared" si="3"/>
        <v>8.3999999999999991E-2</v>
      </c>
      <c r="S18" s="44">
        <f t="shared" si="4"/>
        <v>3.5999999999999997E-2</v>
      </c>
      <c r="T18" s="33">
        <v>0</v>
      </c>
      <c r="U18" s="34">
        <v>0.12</v>
      </c>
      <c r="V18" s="30">
        <f t="shared" si="5"/>
        <v>1</v>
      </c>
      <c r="W18" s="35"/>
      <c r="X18" s="36">
        <f t="shared" si="6"/>
        <v>0</v>
      </c>
      <c r="Y18" s="36">
        <f t="shared" si="6"/>
        <v>155.6</v>
      </c>
      <c r="Z18" s="36">
        <f t="shared" si="6"/>
        <v>31.97</v>
      </c>
      <c r="AA18" s="36">
        <f t="shared" si="6"/>
        <v>0</v>
      </c>
      <c r="AB18" s="37">
        <f t="shared" si="7"/>
        <v>187.57</v>
      </c>
      <c r="AC18" s="36">
        <f t="shared" si="8"/>
        <v>17.899999999999999</v>
      </c>
      <c r="AD18" s="36">
        <f t="shared" si="8"/>
        <v>7.67</v>
      </c>
      <c r="AE18" s="36">
        <f t="shared" si="8"/>
        <v>0</v>
      </c>
      <c r="AF18" s="38">
        <f t="shared" si="9"/>
        <v>25.57</v>
      </c>
      <c r="AG18" s="38">
        <f t="shared" si="10"/>
        <v>213.14</v>
      </c>
      <c r="AH18" s="39">
        <f t="shared" si="11"/>
        <v>-1.0000000000019327E-2</v>
      </c>
      <c r="AI18" s="40"/>
      <c r="AJ18" s="30">
        <v>0.7</v>
      </c>
      <c r="AK18" s="30">
        <v>0.3</v>
      </c>
      <c r="AL18" s="30">
        <v>0</v>
      </c>
      <c r="AM18" s="41"/>
      <c r="AN18" s="42"/>
    </row>
    <row r="19" spans="1:40" ht="15" x14ac:dyDescent="0.2">
      <c r="A19" s="25">
        <v>17</v>
      </c>
      <c r="B19" s="26" t="s">
        <v>38</v>
      </c>
      <c r="C19" s="25" t="str">
        <f t="shared" si="0"/>
        <v>BLOCK 81X63X820-D70-B12</v>
      </c>
      <c r="D19" s="27" t="s">
        <v>45</v>
      </c>
      <c r="E19" s="27" t="s">
        <v>40</v>
      </c>
      <c r="F19" s="27">
        <v>70</v>
      </c>
      <c r="G19" s="27">
        <v>68</v>
      </c>
      <c r="H19" s="27">
        <v>81</v>
      </c>
      <c r="I19" s="27">
        <v>63</v>
      </c>
      <c r="J19" s="27">
        <v>820</v>
      </c>
      <c r="K19" s="28">
        <f t="shared" si="1"/>
        <v>183.58</v>
      </c>
      <c r="L19" s="29"/>
      <c r="M19" s="30">
        <v>0</v>
      </c>
      <c r="N19" s="31">
        <v>0.73</v>
      </c>
      <c r="O19" s="31">
        <v>0.15</v>
      </c>
      <c r="P19" s="30">
        <v>0</v>
      </c>
      <c r="Q19" s="32">
        <f t="shared" si="2"/>
        <v>0.88</v>
      </c>
      <c r="R19" s="44">
        <f t="shared" si="3"/>
        <v>8.3999999999999991E-2</v>
      </c>
      <c r="S19" s="44">
        <f t="shared" si="4"/>
        <v>3.5999999999999997E-2</v>
      </c>
      <c r="T19" s="33">
        <v>0</v>
      </c>
      <c r="U19" s="34">
        <v>0.12</v>
      </c>
      <c r="V19" s="30">
        <f t="shared" si="5"/>
        <v>1</v>
      </c>
      <c r="W19" s="35"/>
      <c r="X19" s="36">
        <f t="shared" si="6"/>
        <v>0</v>
      </c>
      <c r="Y19" s="36">
        <f t="shared" si="6"/>
        <v>134.01</v>
      </c>
      <c r="Z19" s="36">
        <f t="shared" si="6"/>
        <v>27.54</v>
      </c>
      <c r="AA19" s="36">
        <f t="shared" si="6"/>
        <v>0</v>
      </c>
      <c r="AB19" s="37">
        <f t="shared" si="7"/>
        <v>161.54999999999998</v>
      </c>
      <c r="AC19" s="36">
        <f t="shared" si="8"/>
        <v>15.42</v>
      </c>
      <c r="AD19" s="36">
        <f t="shared" si="8"/>
        <v>6.61</v>
      </c>
      <c r="AE19" s="36">
        <f t="shared" si="8"/>
        <v>0</v>
      </c>
      <c r="AF19" s="38">
        <f t="shared" si="9"/>
        <v>22.03</v>
      </c>
      <c r="AG19" s="38">
        <f t="shared" si="10"/>
        <v>183.57999999999998</v>
      </c>
      <c r="AH19" s="39">
        <f t="shared" si="11"/>
        <v>0</v>
      </c>
      <c r="AI19" s="40"/>
      <c r="AJ19" s="30">
        <v>0.7</v>
      </c>
      <c r="AK19" s="30">
        <v>0.3</v>
      </c>
      <c r="AL19" s="30">
        <v>0</v>
      </c>
      <c r="AM19" s="41"/>
      <c r="AN19" s="42"/>
    </row>
    <row r="20" spans="1:40" ht="15" x14ac:dyDescent="0.2">
      <c r="A20" s="25">
        <v>18</v>
      </c>
      <c r="B20" s="26" t="s">
        <v>38</v>
      </c>
      <c r="C20" s="25" t="str">
        <f t="shared" si="0"/>
        <v>BLOCK 81X75X820-D70-B12</v>
      </c>
      <c r="D20" s="27" t="s">
        <v>45</v>
      </c>
      <c r="E20" s="27" t="s">
        <v>40</v>
      </c>
      <c r="F20" s="27">
        <v>70</v>
      </c>
      <c r="G20" s="27">
        <v>68</v>
      </c>
      <c r="H20" s="27">
        <v>81</v>
      </c>
      <c r="I20" s="27">
        <v>75</v>
      </c>
      <c r="J20" s="27">
        <v>820</v>
      </c>
      <c r="K20" s="28">
        <f t="shared" si="1"/>
        <v>218.54</v>
      </c>
      <c r="L20" s="29"/>
      <c r="M20" s="30">
        <v>0</v>
      </c>
      <c r="N20" s="31">
        <v>0.73</v>
      </c>
      <c r="O20" s="31">
        <v>0.15</v>
      </c>
      <c r="P20" s="30">
        <v>0</v>
      </c>
      <c r="Q20" s="32">
        <f t="shared" si="2"/>
        <v>0.88</v>
      </c>
      <c r="R20" s="44">
        <f t="shared" si="3"/>
        <v>8.3999999999999991E-2</v>
      </c>
      <c r="S20" s="44">
        <f t="shared" si="4"/>
        <v>3.5999999999999997E-2</v>
      </c>
      <c r="T20" s="33">
        <v>0</v>
      </c>
      <c r="U20" s="34">
        <v>0.12</v>
      </c>
      <c r="V20" s="30">
        <f t="shared" si="5"/>
        <v>1</v>
      </c>
      <c r="W20" s="35"/>
      <c r="X20" s="36">
        <f t="shared" si="6"/>
        <v>0</v>
      </c>
      <c r="Y20" s="36">
        <f t="shared" si="6"/>
        <v>159.53</v>
      </c>
      <c r="Z20" s="36">
        <f t="shared" si="6"/>
        <v>32.78</v>
      </c>
      <c r="AA20" s="36">
        <f t="shared" si="6"/>
        <v>0</v>
      </c>
      <c r="AB20" s="37">
        <f t="shared" si="7"/>
        <v>192.31</v>
      </c>
      <c r="AC20" s="36">
        <f t="shared" si="8"/>
        <v>18.36</v>
      </c>
      <c r="AD20" s="36">
        <f t="shared" si="8"/>
        <v>7.87</v>
      </c>
      <c r="AE20" s="36">
        <f t="shared" si="8"/>
        <v>0</v>
      </c>
      <c r="AF20" s="38">
        <f t="shared" si="9"/>
        <v>26.23</v>
      </c>
      <c r="AG20" s="38">
        <f t="shared" si="10"/>
        <v>218.54</v>
      </c>
      <c r="AH20" s="39">
        <f t="shared" si="11"/>
        <v>0</v>
      </c>
      <c r="AI20" s="40"/>
      <c r="AJ20" s="30">
        <v>0.7</v>
      </c>
      <c r="AK20" s="30">
        <v>0.3</v>
      </c>
      <c r="AL20" s="30">
        <v>0</v>
      </c>
      <c r="AM20" s="41"/>
      <c r="AN20" s="42"/>
    </row>
    <row r="21" spans="1:40" ht="15" x14ac:dyDescent="0.2">
      <c r="A21" s="25">
        <v>19</v>
      </c>
      <c r="B21" s="26" t="s">
        <v>38</v>
      </c>
      <c r="C21" s="25" t="str">
        <f t="shared" si="0"/>
        <v>BLOCK 75X51X820-D80-B11</v>
      </c>
      <c r="D21" s="27" t="s">
        <v>45</v>
      </c>
      <c r="E21" s="27" t="s">
        <v>40</v>
      </c>
      <c r="F21" s="27">
        <v>80</v>
      </c>
      <c r="G21" s="27">
        <v>77</v>
      </c>
      <c r="H21" s="27">
        <v>75</v>
      </c>
      <c r="I21" s="27">
        <v>51</v>
      </c>
      <c r="J21" s="27">
        <v>820</v>
      </c>
      <c r="K21" s="28">
        <f t="shared" si="1"/>
        <v>155.81</v>
      </c>
      <c r="L21" s="29"/>
      <c r="M21" s="30">
        <v>0</v>
      </c>
      <c r="N21" s="31">
        <v>0.74</v>
      </c>
      <c r="O21" s="31">
        <v>0.15</v>
      </c>
      <c r="P21" s="30">
        <v>0</v>
      </c>
      <c r="Q21" s="32">
        <f t="shared" si="2"/>
        <v>0.89</v>
      </c>
      <c r="R21" s="44">
        <f t="shared" si="3"/>
        <v>7.6999999999999999E-2</v>
      </c>
      <c r="S21" s="44">
        <f t="shared" si="4"/>
        <v>3.3000000000000002E-2</v>
      </c>
      <c r="T21" s="33">
        <v>0</v>
      </c>
      <c r="U21" s="34">
        <v>0.11</v>
      </c>
      <c r="V21" s="30">
        <f t="shared" si="5"/>
        <v>1</v>
      </c>
      <c r="W21" s="35"/>
      <c r="X21" s="36">
        <f t="shared" si="6"/>
        <v>0</v>
      </c>
      <c r="Y21" s="36">
        <f t="shared" si="6"/>
        <v>115.3</v>
      </c>
      <c r="Z21" s="36">
        <f t="shared" si="6"/>
        <v>23.37</v>
      </c>
      <c r="AA21" s="36">
        <f t="shared" si="6"/>
        <v>0</v>
      </c>
      <c r="AB21" s="37">
        <f t="shared" si="7"/>
        <v>138.66999999999999</v>
      </c>
      <c r="AC21" s="36">
        <f t="shared" si="8"/>
        <v>12</v>
      </c>
      <c r="AD21" s="36">
        <f t="shared" si="8"/>
        <v>5.14</v>
      </c>
      <c r="AE21" s="36">
        <f t="shared" si="8"/>
        <v>0</v>
      </c>
      <c r="AF21" s="38">
        <f t="shared" si="9"/>
        <v>17.14</v>
      </c>
      <c r="AG21" s="38">
        <f t="shared" si="10"/>
        <v>155.81</v>
      </c>
      <c r="AH21" s="39">
        <f t="shared" si="11"/>
        <v>0</v>
      </c>
      <c r="AI21" s="40"/>
      <c r="AJ21" s="30">
        <v>0.7</v>
      </c>
      <c r="AK21" s="30">
        <v>0.3</v>
      </c>
      <c r="AL21" s="30">
        <v>0</v>
      </c>
      <c r="AM21" s="41"/>
      <c r="AN21" s="42"/>
    </row>
    <row r="22" spans="1:40" ht="15" x14ac:dyDescent="0.2">
      <c r="A22" s="25">
        <v>20</v>
      </c>
      <c r="B22" s="26" t="s">
        <v>38</v>
      </c>
      <c r="C22" s="25" t="str">
        <f t="shared" si="0"/>
        <v>BLOCK 75X75X820-D80-B11</v>
      </c>
      <c r="D22" s="27" t="s">
        <v>45</v>
      </c>
      <c r="E22" s="27" t="s">
        <v>40</v>
      </c>
      <c r="F22" s="27">
        <v>80</v>
      </c>
      <c r="G22" s="27">
        <v>77</v>
      </c>
      <c r="H22" s="27">
        <v>75</v>
      </c>
      <c r="I22" s="27">
        <v>75</v>
      </c>
      <c r="J22" s="27">
        <v>820</v>
      </c>
      <c r="K22" s="28">
        <f t="shared" si="1"/>
        <v>229.14</v>
      </c>
      <c r="L22" s="29"/>
      <c r="M22" s="30">
        <v>0</v>
      </c>
      <c r="N22" s="31">
        <v>0.74</v>
      </c>
      <c r="O22" s="31">
        <v>0.15</v>
      </c>
      <c r="P22" s="30">
        <v>0</v>
      </c>
      <c r="Q22" s="32">
        <f t="shared" si="2"/>
        <v>0.89</v>
      </c>
      <c r="R22" s="44">
        <f t="shared" si="3"/>
        <v>7.6999999999999999E-2</v>
      </c>
      <c r="S22" s="44">
        <f t="shared" si="4"/>
        <v>3.3000000000000002E-2</v>
      </c>
      <c r="T22" s="33">
        <v>0</v>
      </c>
      <c r="U22" s="34">
        <v>0.11</v>
      </c>
      <c r="V22" s="30">
        <f t="shared" si="5"/>
        <v>1</v>
      </c>
      <c r="W22" s="35"/>
      <c r="X22" s="36">
        <f t="shared" si="6"/>
        <v>0</v>
      </c>
      <c r="Y22" s="36">
        <f t="shared" si="6"/>
        <v>169.56</v>
      </c>
      <c r="Z22" s="36">
        <f t="shared" si="6"/>
        <v>34.369999999999997</v>
      </c>
      <c r="AA22" s="36">
        <f t="shared" si="6"/>
        <v>0</v>
      </c>
      <c r="AB22" s="37">
        <f t="shared" si="7"/>
        <v>203.93</v>
      </c>
      <c r="AC22" s="36">
        <f t="shared" si="8"/>
        <v>17.64</v>
      </c>
      <c r="AD22" s="36">
        <f t="shared" si="8"/>
        <v>7.56</v>
      </c>
      <c r="AE22" s="36">
        <f t="shared" si="8"/>
        <v>0</v>
      </c>
      <c r="AF22" s="38">
        <f t="shared" si="9"/>
        <v>25.2</v>
      </c>
      <c r="AG22" s="38">
        <f t="shared" si="10"/>
        <v>229.13</v>
      </c>
      <c r="AH22" s="39">
        <f t="shared" si="11"/>
        <v>-9.9999999999909051E-3</v>
      </c>
      <c r="AI22" s="40"/>
      <c r="AJ22" s="30">
        <v>0.7</v>
      </c>
      <c r="AK22" s="30">
        <v>0.3</v>
      </c>
      <c r="AL22" s="30">
        <v>0</v>
      </c>
      <c r="AM22" s="41"/>
      <c r="AN22" s="42"/>
    </row>
    <row r="23" spans="1:40" ht="15" x14ac:dyDescent="0.2">
      <c r="A23" s="25">
        <v>21</v>
      </c>
      <c r="B23" s="26" t="s">
        <v>38</v>
      </c>
      <c r="C23" s="25" t="str">
        <f t="shared" si="0"/>
        <v>BLOCK 79X51X820-D80-B11</v>
      </c>
      <c r="D23" s="27" t="s">
        <v>45</v>
      </c>
      <c r="E23" s="27" t="s">
        <v>40</v>
      </c>
      <c r="F23" s="27">
        <v>80</v>
      </c>
      <c r="G23" s="27">
        <v>77</v>
      </c>
      <c r="H23" s="27">
        <v>79</v>
      </c>
      <c r="I23" s="27">
        <v>51</v>
      </c>
      <c r="J23" s="27">
        <v>820</v>
      </c>
      <c r="K23" s="28">
        <f t="shared" si="1"/>
        <v>164.12</v>
      </c>
      <c r="L23" s="29"/>
      <c r="M23" s="30">
        <v>0</v>
      </c>
      <c r="N23" s="31">
        <v>0.74</v>
      </c>
      <c r="O23" s="31">
        <v>0.15</v>
      </c>
      <c r="P23" s="30">
        <v>0</v>
      </c>
      <c r="Q23" s="32">
        <f t="shared" si="2"/>
        <v>0.89</v>
      </c>
      <c r="R23" s="33">
        <f t="shared" si="3"/>
        <v>7.6999999999999999E-2</v>
      </c>
      <c r="S23" s="33">
        <f t="shared" si="4"/>
        <v>3.3000000000000002E-2</v>
      </c>
      <c r="T23" s="33">
        <f t="shared" ref="T23:T33" si="12">U23*AL23</f>
        <v>0</v>
      </c>
      <c r="U23" s="34">
        <v>0.11</v>
      </c>
      <c r="V23" s="30">
        <f t="shared" si="5"/>
        <v>1</v>
      </c>
      <c r="W23" s="35"/>
      <c r="X23" s="36">
        <f t="shared" si="6"/>
        <v>0</v>
      </c>
      <c r="Y23" s="36">
        <f t="shared" si="6"/>
        <v>121.45</v>
      </c>
      <c r="Z23" s="36">
        <f t="shared" si="6"/>
        <v>24.62</v>
      </c>
      <c r="AA23" s="36">
        <f t="shared" si="6"/>
        <v>0</v>
      </c>
      <c r="AB23" s="37">
        <f t="shared" si="7"/>
        <v>146.07</v>
      </c>
      <c r="AC23" s="36">
        <f t="shared" si="8"/>
        <v>12.64</v>
      </c>
      <c r="AD23" s="36">
        <f t="shared" si="8"/>
        <v>5.42</v>
      </c>
      <c r="AE23" s="36">
        <f t="shared" si="8"/>
        <v>0</v>
      </c>
      <c r="AF23" s="38">
        <f t="shared" si="9"/>
        <v>18.060000000000002</v>
      </c>
      <c r="AG23" s="38">
        <f t="shared" si="10"/>
        <v>164.13</v>
      </c>
      <c r="AH23" s="39">
        <f t="shared" si="11"/>
        <v>9.9999999999909051E-3</v>
      </c>
      <c r="AI23" s="40"/>
      <c r="AJ23" s="30">
        <v>0.7</v>
      </c>
      <c r="AK23" s="30">
        <v>0.3</v>
      </c>
      <c r="AL23" s="30">
        <v>0</v>
      </c>
      <c r="AM23" s="41"/>
      <c r="AN23" s="42"/>
    </row>
    <row r="24" spans="1:40" ht="15" x14ac:dyDescent="0.2">
      <c r="A24" s="25">
        <v>22</v>
      </c>
      <c r="B24" s="26" t="s">
        <v>38</v>
      </c>
      <c r="C24" s="25" t="str">
        <f t="shared" si="0"/>
        <v>BLOCK 79X63X820-D80-B11</v>
      </c>
      <c r="D24" s="27" t="s">
        <v>45</v>
      </c>
      <c r="E24" s="27" t="s">
        <v>40</v>
      </c>
      <c r="F24" s="27">
        <v>80</v>
      </c>
      <c r="G24" s="27">
        <v>77</v>
      </c>
      <c r="H24" s="27">
        <v>79</v>
      </c>
      <c r="I24" s="27">
        <v>63</v>
      </c>
      <c r="J24" s="27">
        <v>820</v>
      </c>
      <c r="K24" s="28">
        <f t="shared" si="1"/>
        <v>202.74</v>
      </c>
      <c r="L24" s="29"/>
      <c r="M24" s="30">
        <v>0</v>
      </c>
      <c r="N24" s="31">
        <v>0.74</v>
      </c>
      <c r="O24" s="31">
        <v>0.15</v>
      </c>
      <c r="P24" s="30">
        <v>0</v>
      </c>
      <c r="Q24" s="32">
        <f t="shared" si="2"/>
        <v>0.89</v>
      </c>
      <c r="R24" s="33">
        <f t="shared" si="3"/>
        <v>7.6999999999999999E-2</v>
      </c>
      <c r="S24" s="33">
        <f t="shared" si="4"/>
        <v>3.3000000000000002E-2</v>
      </c>
      <c r="T24" s="33">
        <f t="shared" si="12"/>
        <v>0</v>
      </c>
      <c r="U24" s="34">
        <v>0.11</v>
      </c>
      <c r="V24" s="30">
        <f t="shared" si="5"/>
        <v>1</v>
      </c>
      <c r="W24" s="35"/>
      <c r="X24" s="36">
        <f t="shared" si="6"/>
        <v>0</v>
      </c>
      <c r="Y24" s="36">
        <f t="shared" si="6"/>
        <v>150.03</v>
      </c>
      <c r="Z24" s="36">
        <f t="shared" si="6"/>
        <v>30.41</v>
      </c>
      <c r="AA24" s="36">
        <f t="shared" si="6"/>
        <v>0</v>
      </c>
      <c r="AB24" s="37">
        <f t="shared" si="7"/>
        <v>180.44</v>
      </c>
      <c r="AC24" s="36">
        <f t="shared" si="8"/>
        <v>15.61</v>
      </c>
      <c r="AD24" s="36">
        <f t="shared" si="8"/>
        <v>6.69</v>
      </c>
      <c r="AE24" s="36">
        <f t="shared" si="8"/>
        <v>0</v>
      </c>
      <c r="AF24" s="38">
        <f t="shared" si="9"/>
        <v>22.3</v>
      </c>
      <c r="AG24" s="38">
        <f t="shared" si="10"/>
        <v>202.74</v>
      </c>
      <c r="AH24" s="39">
        <f t="shared" si="11"/>
        <v>0</v>
      </c>
      <c r="AI24" s="40"/>
      <c r="AJ24" s="30">
        <v>0.7</v>
      </c>
      <c r="AK24" s="30">
        <v>0.3</v>
      </c>
      <c r="AL24" s="30">
        <v>0</v>
      </c>
      <c r="AM24" s="41"/>
      <c r="AN24" s="42"/>
    </row>
    <row r="25" spans="1:40" ht="15" x14ac:dyDescent="0.2">
      <c r="A25" s="25">
        <v>23</v>
      </c>
      <c r="B25" s="26" t="s">
        <v>38</v>
      </c>
      <c r="C25" s="25" t="str">
        <f t="shared" si="0"/>
        <v>BLOCK 79X75X820-D80-B11</v>
      </c>
      <c r="D25" s="27" t="s">
        <v>45</v>
      </c>
      <c r="E25" s="27" t="s">
        <v>40</v>
      </c>
      <c r="F25" s="27">
        <v>80</v>
      </c>
      <c r="G25" s="27">
        <v>77</v>
      </c>
      <c r="H25" s="27">
        <v>79</v>
      </c>
      <c r="I25" s="27">
        <v>75</v>
      </c>
      <c r="J25" s="27">
        <v>820</v>
      </c>
      <c r="K25" s="28">
        <f t="shared" si="1"/>
        <v>241.36</v>
      </c>
      <c r="L25" s="29"/>
      <c r="M25" s="30">
        <v>0</v>
      </c>
      <c r="N25" s="31">
        <v>0.74</v>
      </c>
      <c r="O25" s="31">
        <v>0.15</v>
      </c>
      <c r="P25" s="30">
        <v>0</v>
      </c>
      <c r="Q25" s="32">
        <f t="shared" si="2"/>
        <v>0.89</v>
      </c>
      <c r="R25" s="33">
        <f t="shared" si="3"/>
        <v>7.6999999999999999E-2</v>
      </c>
      <c r="S25" s="33">
        <f t="shared" si="4"/>
        <v>3.3000000000000002E-2</v>
      </c>
      <c r="T25" s="33">
        <f t="shared" si="12"/>
        <v>0</v>
      </c>
      <c r="U25" s="34">
        <v>0.11</v>
      </c>
      <c r="V25" s="30">
        <f t="shared" si="5"/>
        <v>1</v>
      </c>
      <c r="W25" s="35"/>
      <c r="X25" s="36">
        <f t="shared" si="6"/>
        <v>0</v>
      </c>
      <c r="Y25" s="36">
        <f t="shared" si="6"/>
        <v>178.61</v>
      </c>
      <c r="Z25" s="36">
        <f t="shared" si="6"/>
        <v>36.200000000000003</v>
      </c>
      <c r="AA25" s="36">
        <f t="shared" si="6"/>
        <v>0</v>
      </c>
      <c r="AB25" s="37">
        <f t="shared" si="7"/>
        <v>214.81</v>
      </c>
      <c r="AC25" s="36">
        <f t="shared" si="8"/>
        <v>18.579999999999998</v>
      </c>
      <c r="AD25" s="36">
        <f t="shared" si="8"/>
        <v>7.96</v>
      </c>
      <c r="AE25" s="36">
        <f t="shared" si="8"/>
        <v>0</v>
      </c>
      <c r="AF25" s="38">
        <f t="shared" si="9"/>
        <v>26.54</v>
      </c>
      <c r="AG25" s="38">
        <f t="shared" si="10"/>
        <v>241.35</v>
      </c>
      <c r="AH25" s="39">
        <f t="shared" si="11"/>
        <v>-1.0000000000019327E-2</v>
      </c>
      <c r="AI25" s="40"/>
      <c r="AJ25" s="30">
        <v>0.7</v>
      </c>
      <c r="AK25" s="30">
        <v>0.3</v>
      </c>
      <c r="AL25" s="30">
        <v>0</v>
      </c>
      <c r="AM25" s="41"/>
      <c r="AN25" s="42"/>
    </row>
    <row r="26" spans="1:40" ht="15" x14ac:dyDescent="0.2">
      <c r="A26" s="25">
        <v>24</v>
      </c>
      <c r="B26" s="26" t="s">
        <v>38</v>
      </c>
      <c r="C26" s="25" t="str">
        <f t="shared" si="0"/>
        <v>BLOCK 81X75X820-D80-B11</v>
      </c>
      <c r="D26" s="27" t="s">
        <v>45</v>
      </c>
      <c r="E26" s="27" t="s">
        <v>40</v>
      </c>
      <c r="F26" s="27">
        <v>80</v>
      </c>
      <c r="G26" s="27">
        <v>77</v>
      </c>
      <c r="H26" s="27">
        <v>81</v>
      </c>
      <c r="I26" s="27">
        <v>75</v>
      </c>
      <c r="J26" s="27">
        <v>820</v>
      </c>
      <c r="K26" s="28">
        <f t="shared" si="1"/>
        <v>247.47</v>
      </c>
      <c r="L26" s="29"/>
      <c r="M26" s="30">
        <v>0</v>
      </c>
      <c r="N26" s="31">
        <v>0.74</v>
      </c>
      <c r="O26" s="31">
        <v>0.15</v>
      </c>
      <c r="P26" s="30">
        <v>0</v>
      </c>
      <c r="Q26" s="32">
        <f t="shared" si="2"/>
        <v>0.89</v>
      </c>
      <c r="R26" s="33">
        <f t="shared" si="3"/>
        <v>7.6999999999999999E-2</v>
      </c>
      <c r="S26" s="33">
        <f t="shared" si="4"/>
        <v>3.3000000000000002E-2</v>
      </c>
      <c r="T26" s="33">
        <f t="shared" si="12"/>
        <v>0</v>
      </c>
      <c r="U26" s="34">
        <v>0.11</v>
      </c>
      <c r="V26" s="30">
        <f t="shared" si="5"/>
        <v>1</v>
      </c>
      <c r="W26" s="35"/>
      <c r="X26" s="36">
        <f t="shared" si="6"/>
        <v>0</v>
      </c>
      <c r="Y26" s="36">
        <f t="shared" si="6"/>
        <v>183.13</v>
      </c>
      <c r="Z26" s="36">
        <f t="shared" si="6"/>
        <v>37.119999999999997</v>
      </c>
      <c r="AA26" s="36">
        <f t="shared" si="6"/>
        <v>0</v>
      </c>
      <c r="AB26" s="37">
        <f t="shared" si="7"/>
        <v>220.25</v>
      </c>
      <c r="AC26" s="36">
        <f t="shared" si="8"/>
        <v>19.059999999999999</v>
      </c>
      <c r="AD26" s="36">
        <f t="shared" si="8"/>
        <v>8.17</v>
      </c>
      <c r="AE26" s="36">
        <f t="shared" si="8"/>
        <v>0</v>
      </c>
      <c r="AF26" s="38">
        <f t="shared" si="9"/>
        <v>27.229999999999997</v>
      </c>
      <c r="AG26" s="38">
        <f t="shared" si="10"/>
        <v>247.48</v>
      </c>
      <c r="AH26" s="39">
        <f t="shared" si="11"/>
        <v>9.9999999999909051E-3</v>
      </c>
      <c r="AI26" s="40"/>
      <c r="AJ26" s="30">
        <v>0.7</v>
      </c>
      <c r="AK26" s="30">
        <v>0.3</v>
      </c>
      <c r="AL26" s="30">
        <v>0</v>
      </c>
      <c r="AM26" s="41"/>
      <c r="AN26" s="42"/>
    </row>
    <row r="27" spans="1:40" ht="15" x14ac:dyDescent="0.2">
      <c r="A27" s="25">
        <v>25</v>
      </c>
      <c r="B27" s="26" t="s">
        <v>38</v>
      </c>
      <c r="C27" s="25" t="str">
        <f t="shared" si="0"/>
        <v>BLOCK 86X75X820-D80-B11</v>
      </c>
      <c r="D27" s="27" t="s">
        <v>45</v>
      </c>
      <c r="E27" s="27" t="s">
        <v>40</v>
      </c>
      <c r="F27" s="27">
        <v>80</v>
      </c>
      <c r="G27" s="27">
        <v>77</v>
      </c>
      <c r="H27" s="27">
        <v>86</v>
      </c>
      <c r="I27" s="27">
        <v>75</v>
      </c>
      <c r="J27" s="27">
        <v>820</v>
      </c>
      <c r="K27" s="28">
        <f t="shared" si="1"/>
        <v>262.74</v>
      </c>
      <c r="L27" s="29"/>
      <c r="M27" s="30">
        <v>0</v>
      </c>
      <c r="N27" s="31">
        <v>0.74</v>
      </c>
      <c r="O27" s="31">
        <v>0.15</v>
      </c>
      <c r="P27" s="30">
        <v>0</v>
      </c>
      <c r="Q27" s="32">
        <f t="shared" si="2"/>
        <v>0.89</v>
      </c>
      <c r="R27" s="33">
        <f t="shared" si="3"/>
        <v>7.6999999999999999E-2</v>
      </c>
      <c r="S27" s="33">
        <f t="shared" si="4"/>
        <v>3.3000000000000002E-2</v>
      </c>
      <c r="T27" s="33">
        <f t="shared" si="12"/>
        <v>0</v>
      </c>
      <c r="U27" s="34">
        <v>0.11</v>
      </c>
      <c r="V27" s="30">
        <f t="shared" si="5"/>
        <v>1</v>
      </c>
      <c r="W27" s="35"/>
      <c r="X27" s="36">
        <f t="shared" si="6"/>
        <v>0</v>
      </c>
      <c r="Y27" s="36">
        <f t="shared" si="6"/>
        <v>194.43</v>
      </c>
      <c r="Z27" s="36">
        <f t="shared" si="6"/>
        <v>39.409999999999997</v>
      </c>
      <c r="AA27" s="36">
        <f t="shared" si="6"/>
        <v>0</v>
      </c>
      <c r="AB27" s="37">
        <f t="shared" si="7"/>
        <v>233.84</v>
      </c>
      <c r="AC27" s="36">
        <f t="shared" si="8"/>
        <v>20.23</v>
      </c>
      <c r="AD27" s="36">
        <f t="shared" si="8"/>
        <v>8.67</v>
      </c>
      <c r="AE27" s="36">
        <f t="shared" si="8"/>
        <v>0</v>
      </c>
      <c r="AF27" s="38">
        <f t="shared" si="9"/>
        <v>28.9</v>
      </c>
      <c r="AG27" s="38">
        <f t="shared" si="10"/>
        <v>262.74</v>
      </c>
      <c r="AH27" s="39">
        <f t="shared" si="11"/>
        <v>0</v>
      </c>
      <c r="AI27" s="40"/>
      <c r="AJ27" s="30">
        <v>0.7</v>
      </c>
      <c r="AK27" s="30">
        <v>0.3</v>
      </c>
      <c r="AL27" s="30">
        <v>0</v>
      </c>
      <c r="AM27" s="41"/>
      <c r="AN27" s="42"/>
    </row>
    <row r="28" spans="1:40" ht="15" x14ac:dyDescent="0.2">
      <c r="A28" s="25">
        <v>26</v>
      </c>
      <c r="B28" s="26" t="s">
        <v>38</v>
      </c>
      <c r="C28" s="25" t="str">
        <f t="shared" si="0"/>
        <v>BLOCK 75X51X820-D80-B11</v>
      </c>
      <c r="D28" s="27" t="s">
        <v>46</v>
      </c>
      <c r="E28" s="27" t="s">
        <v>40</v>
      </c>
      <c r="F28" s="27">
        <v>80</v>
      </c>
      <c r="G28" s="27">
        <v>77</v>
      </c>
      <c r="H28" s="27">
        <v>75</v>
      </c>
      <c r="I28" s="27">
        <v>51</v>
      </c>
      <c r="J28" s="27">
        <v>820</v>
      </c>
      <c r="K28" s="28">
        <f t="shared" si="1"/>
        <v>155.81</v>
      </c>
      <c r="L28" s="29"/>
      <c r="M28" s="30">
        <v>0</v>
      </c>
      <c r="N28" s="31">
        <v>0.71</v>
      </c>
      <c r="O28" s="31">
        <v>0.18</v>
      </c>
      <c r="P28" s="30">
        <v>0</v>
      </c>
      <c r="Q28" s="32">
        <f t="shared" si="2"/>
        <v>0.8899999999999999</v>
      </c>
      <c r="R28" s="33">
        <f t="shared" si="3"/>
        <v>6.6000000000000003E-2</v>
      </c>
      <c r="S28" s="33">
        <f t="shared" si="4"/>
        <v>4.4000000000000004E-2</v>
      </c>
      <c r="T28" s="33">
        <f t="shared" si="12"/>
        <v>0</v>
      </c>
      <c r="U28" s="34">
        <v>0.11</v>
      </c>
      <c r="V28" s="30">
        <f t="shared" si="5"/>
        <v>0.99999999999999989</v>
      </c>
      <c r="W28" s="35"/>
      <c r="X28" s="36">
        <f t="shared" si="6"/>
        <v>0</v>
      </c>
      <c r="Y28" s="36">
        <f t="shared" si="6"/>
        <v>110.63</v>
      </c>
      <c r="Z28" s="36">
        <f t="shared" si="6"/>
        <v>28.05</v>
      </c>
      <c r="AA28" s="36">
        <f t="shared" si="6"/>
        <v>0</v>
      </c>
      <c r="AB28" s="37">
        <f t="shared" si="7"/>
        <v>138.68</v>
      </c>
      <c r="AC28" s="36">
        <f t="shared" si="8"/>
        <v>10.28</v>
      </c>
      <c r="AD28" s="36">
        <f t="shared" si="8"/>
        <v>6.86</v>
      </c>
      <c r="AE28" s="36">
        <f t="shared" si="8"/>
        <v>0</v>
      </c>
      <c r="AF28" s="38">
        <f t="shared" si="9"/>
        <v>17.14</v>
      </c>
      <c r="AG28" s="38">
        <f t="shared" si="10"/>
        <v>155.82</v>
      </c>
      <c r="AH28" s="39">
        <f t="shared" si="11"/>
        <v>9.9999999999909051E-3</v>
      </c>
      <c r="AI28" s="40"/>
      <c r="AJ28" s="30">
        <v>0.6</v>
      </c>
      <c r="AK28" s="30">
        <v>0.4</v>
      </c>
      <c r="AL28" s="30">
        <v>0</v>
      </c>
      <c r="AM28" s="41"/>
      <c r="AN28" s="42"/>
    </row>
    <row r="29" spans="1:40" ht="15" x14ac:dyDescent="0.2">
      <c r="A29" s="25">
        <v>27</v>
      </c>
      <c r="B29" s="26" t="s">
        <v>38</v>
      </c>
      <c r="C29" s="25" t="str">
        <f t="shared" si="0"/>
        <v>BLOCK 79X51X820-D80-B11</v>
      </c>
      <c r="D29" s="27" t="s">
        <v>46</v>
      </c>
      <c r="E29" s="27" t="s">
        <v>40</v>
      </c>
      <c r="F29" s="27">
        <v>80</v>
      </c>
      <c r="G29" s="27">
        <v>77</v>
      </c>
      <c r="H29" s="27">
        <v>79</v>
      </c>
      <c r="I29" s="27">
        <v>51</v>
      </c>
      <c r="J29" s="27">
        <v>820</v>
      </c>
      <c r="K29" s="28">
        <f t="shared" si="1"/>
        <v>164.12</v>
      </c>
      <c r="L29" s="29"/>
      <c r="M29" s="30">
        <v>0</v>
      </c>
      <c r="N29" s="31">
        <v>0.71</v>
      </c>
      <c r="O29" s="31">
        <v>0.18</v>
      </c>
      <c r="P29" s="30">
        <v>0</v>
      </c>
      <c r="Q29" s="32">
        <f t="shared" si="2"/>
        <v>0.8899999999999999</v>
      </c>
      <c r="R29" s="33">
        <f t="shared" si="3"/>
        <v>6.6000000000000003E-2</v>
      </c>
      <c r="S29" s="33">
        <f t="shared" si="4"/>
        <v>4.4000000000000004E-2</v>
      </c>
      <c r="T29" s="33">
        <f t="shared" si="12"/>
        <v>0</v>
      </c>
      <c r="U29" s="34">
        <v>0.11</v>
      </c>
      <c r="V29" s="30">
        <f t="shared" si="5"/>
        <v>0.99999999999999989</v>
      </c>
      <c r="W29" s="35"/>
      <c r="X29" s="36">
        <f t="shared" si="6"/>
        <v>0</v>
      </c>
      <c r="Y29" s="36">
        <f t="shared" si="6"/>
        <v>116.53</v>
      </c>
      <c r="Z29" s="36">
        <f t="shared" si="6"/>
        <v>29.54</v>
      </c>
      <c r="AA29" s="36">
        <f t="shared" si="6"/>
        <v>0</v>
      </c>
      <c r="AB29" s="37">
        <f t="shared" si="7"/>
        <v>146.07</v>
      </c>
      <c r="AC29" s="36">
        <f t="shared" si="8"/>
        <v>10.83</v>
      </c>
      <c r="AD29" s="36">
        <f t="shared" si="8"/>
        <v>7.22</v>
      </c>
      <c r="AE29" s="36">
        <f t="shared" si="8"/>
        <v>0</v>
      </c>
      <c r="AF29" s="38">
        <f t="shared" si="9"/>
        <v>18.05</v>
      </c>
      <c r="AG29" s="38">
        <f t="shared" si="10"/>
        <v>164.12</v>
      </c>
      <c r="AH29" s="39">
        <f t="shared" si="11"/>
        <v>0</v>
      </c>
      <c r="AI29" s="40"/>
      <c r="AJ29" s="30">
        <v>0.6</v>
      </c>
      <c r="AK29" s="30">
        <v>0.4</v>
      </c>
      <c r="AL29" s="30">
        <v>0</v>
      </c>
      <c r="AM29" s="41"/>
      <c r="AN29" s="42"/>
    </row>
    <row r="30" spans="1:40" ht="15" x14ac:dyDescent="0.2">
      <c r="A30" s="25">
        <v>28</v>
      </c>
      <c r="B30" s="26" t="s">
        <v>38</v>
      </c>
      <c r="C30" s="25" t="str">
        <f t="shared" si="0"/>
        <v>BLOCK 79X63X820-D80-B11</v>
      </c>
      <c r="D30" s="27" t="s">
        <v>46</v>
      </c>
      <c r="E30" s="27" t="s">
        <v>40</v>
      </c>
      <c r="F30" s="27">
        <v>80</v>
      </c>
      <c r="G30" s="27">
        <v>77</v>
      </c>
      <c r="H30" s="27">
        <v>79</v>
      </c>
      <c r="I30" s="27">
        <v>63</v>
      </c>
      <c r="J30" s="27">
        <v>820</v>
      </c>
      <c r="K30" s="28">
        <f t="shared" si="1"/>
        <v>202.74</v>
      </c>
      <c r="L30" s="29"/>
      <c r="M30" s="30">
        <v>0</v>
      </c>
      <c r="N30" s="31">
        <v>0.71</v>
      </c>
      <c r="O30" s="31">
        <v>0.18</v>
      </c>
      <c r="P30" s="30">
        <v>0</v>
      </c>
      <c r="Q30" s="32">
        <f t="shared" si="2"/>
        <v>0.8899999999999999</v>
      </c>
      <c r="R30" s="33">
        <f t="shared" si="3"/>
        <v>6.6000000000000003E-2</v>
      </c>
      <c r="S30" s="33">
        <f t="shared" si="4"/>
        <v>4.4000000000000004E-2</v>
      </c>
      <c r="T30" s="33">
        <f t="shared" si="12"/>
        <v>0</v>
      </c>
      <c r="U30" s="34">
        <v>0.11</v>
      </c>
      <c r="V30" s="30">
        <f t="shared" si="5"/>
        <v>0.99999999999999989</v>
      </c>
      <c r="W30" s="35"/>
      <c r="X30" s="36">
        <f t="shared" si="6"/>
        <v>0</v>
      </c>
      <c r="Y30" s="36">
        <f t="shared" si="6"/>
        <v>143.94999999999999</v>
      </c>
      <c r="Z30" s="36">
        <f t="shared" si="6"/>
        <v>36.49</v>
      </c>
      <c r="AA30" s="36">
        <f t="shared" si="6"/>
        <v>0</v>
      </c>
      <c r="AB30" s="37">
        <f t="shared" si="7"/>
        <v>180.44</v>
      </c>
      <c r="AC30" s="36">
        <f t="shared" si="8"/>
        <v>13.38</v>
      </c>
      <c r="AD30" s="36">
        <f t="shared" si="8"/>
        <v>8.92</v>
      </c>
      <c r="AE30" s="36">
        <f t="shared" si="8"/>
        <v>0</v>
      </c>
      <c r="AF30" s="38">
        <f t="shared" si="9"/>
        <v>22.3</v>
      </c>
      <c r="AG30" s="38">
        <f t="shared" si="10"/>
        <v>202.74</v>
      </c>
      <c r="AH30" s="39">
        <f t="shared" si="11"/>
        <v>0</v>
      </c>
      <c r="AI30" s="40"/>
      <c r="AJ30" s="30">
        <v>0.6</v>
      </c>
      <c r="AK30" s="30">
        <v>0.4</v>
      </c>
      <c r="AL30" s="30">
        <v>0</v>
      </c>
      <c r="AM30" s="41"/>
      <c r="AN30" s="42"/>
    </row>
    <row r="31" spans="1:40" ht="15" x14ac:dyDescent="0.2">
      <c r="A31" s="25">
        <v>29</v>
      </c>
      <c r="B31" s="26" t="s">
        <v>38</v>
      </c>
      <c r="C31" s="25" t="str">
        <f t="shared" si="0"/>
        <v>BLOCK 79X75X820-D80-B11</v>
      </c>
      <c r="D31" s="27" t="s">
        <v>46</v>
      </c>
      <c r="E31" s="27" t="s">
        <v>40</v>
      </c>
      <c r="F31" s="27">
        <v>80</v>
      </c>
      <c r="G31" s="27">
        <v>77</v>
      </c>
      <c r="H31" s="27">
        <v>79</v>
      </c>
      <c r="I31" s="27">
        <v>75</v>
      </c>
      <c r="J31" s="27">
        <v>820</v>
      </c>
      <c r="K31" s="28">
        <f t="shared" si="1"/>
        <v>241.36</v>
      </c>
      <c r="L31" s="29"/>
      <c r="M31" s="30">
        <v>0</v>
      </c>
      <c r="N31" s="31">
        <v>0.71</v>
      </c>
      <c r="O31" s="31">
        <v>0.18</v>
      </c>
      <c r="P31" s="30">
        <v>0</v>
      </c>
      <c r="Q31" s="32">
        <f t="shared" si="2"/>
        <v>0.8899999999999999</v>
      </c>
      <c r="R31" s="33">
        <f t="shared" si="3"/>
        <v>6.6000000000000003E-2</v>
      </c>
      <c r="S31" s="33">
        <f t="shared" si="4"/>
        <v>4.4000000000000004E-2</v>
      </c>
      <c r="T31" s="33">
        <f t="shared" si="12"/>
        <v>0</v>
      </c>
      <c r="U31" s="34">
        <v>0.11</v>
      </c>
      <c r="V31" s="30">
        <f t="shared" si="5"/>
        <v>0.99999999999999989</v>
      </c>
      <c r="W31" s="35"/>
      <c r="X31" s="36">
        <f t="shared" si="6"/>
        <v>0</v>
      </c>
      <c r="Y31" s="36">
        <f t="shared" si="6"/>
        <v>171.37</v>
      </c>
      <c r="Z31" s="36">
        <f t="shared" si="6"/>
        <v>43.44</v>
      </c>
      <c r="AA31" s="36">
        <f t="shared" si="6"/>
        <v>0</v>
      </c>
      <c r="AB31" s="37">
        <f t="shared" si="7"/>
        <v>214.81</v>
      </c>
      <c r="AC31" s="36">
        <f t="shared" si="8"/>
        <v>15.93</v>
      </c>
      <c r="AD31" s="36">
        <f t="shared" si="8"/>
        <v>10.62</v>
      </c>
      <c r="AE31" s="36">
        <f t="shared" si="8"/>
        <v>0</v>
      </c>
      <c r="AF31" s="38">
        <f t="shared" si="9"/>
        <v>26.549999999999997</v>
      </c>
      <c r="AG31" s="38">
        <f t="shared" si="10"/>
        <v>241.36</v>
      </c>
      <c r="AH31" s="39">
        <f t="shared" si="11"/>
        <v>0</v>
      </c>
      <c r="AI31" s="40"/>
      <c r="AJ31" s="30">
        <v>0.6</v>
      </c>
      <c r="AK31" s="30">
        <v>0.4</v>
      </c>
      <c r="AL31" s="30">
        <v>0</v>
      </c>
      <c r="AM31" s="41"/>
      <c r="AN31" s="42"/>
    </row>
    <row r="32" spans="1:40" ht="15" x14ac:dyDescent="0.2">
      <c r="A32" s="25">
        <v>30</v>
      </c>
      <c r="B32" s="26" t="s">
        <v>38</v>
      </c>
      <c r="C32" s="25" t="str">
        <f t="shared" si="0"/>
        <v>BLOCK 81X63X820-D80-B11</v>
      </c>
      <c r="D32" s="27" t="s">
        <v>46</v>
      </c>
      <c r="E32" s="27" t="s">
        <v>40</v>
      </c>
      <c r="F32" s="27">
        <v>80</v>
      </c>
      <c r="G32" s="27">
        <v>77</v>
      </c>
      <c r="H32" s="27">
        <v>81</v>
      </c>
      <c r="I32" s="27">
        <v>63</v>
      </c>
      <c r="J32" s="27">
        <v>820</v>
      </c>
      <c r="K32" s="28">
        <f t="shared" si="1"/>
        <v>207.87</v>
      </c>
      <c r="L32" s="29"/>
      <c r="M32" s="30">
        <v>0</v>
      </c>
      <c r="N32" s="31">
        <v>0.71</v>
      </c>
      <c r="O32" s="31">
        <v>0.18</v>
      </c>
      <c r="P32" s="30">
        <v>0</v>
      </c>
      <c r="Q32" s="32">
        <f t="shared" si="2"/>
        <v>0.8899999999999999</v>
      </c>
      <c r="R32" s="33">
        <f t="shared" si="3"/>
        <v>6.6000000000000003E-2</v>
      </c>
      <c r="S32" s="33">
        <f t="shared" si="4"/>
        <v>4.4000000000000004E-2</v>
      </c>
      <c r="T32" s="33">
        <f t="shared" si="12"/>
        <v>0</v>
      </c>
      <c r="U32" s="34">
        <v>0.11</v>
      </c>
      <c r="V32" s="30">
        <f t="shared" si="5"/>
        <v>0.99999999999999989</v>
      </c>
      <c r="W32" s="35"/>
      <c r="X32" s="36">
        <f t="shared" si="6"/>
        <v>0</v>
      </c>
      <c r="Y32" s="36">
        <f t="shared" si="6"/>
        <v>147.59</v>
      </c>
      <c r="Z32" s="36">
        <f t="shared" si="6"/>
        <v>37.42</v>
      </c>
      <c r="AA32" s="36">
        <f t="shared" si="6"/>
        <v>0</v>
      </c>
      <c r="AB32" s="37">
        <f t="shared" si="7"/>
        <v>185.01</v>
      </c>
      <c r="AC32" s="36">
        <f t="shared" si="8"/>
        <v>13.72</v>
      </c>
      <c r="AD32" s="36">
        <f t="shared" si="8"/>
        <v>9.15</v>
      </c>
      <c r="AE32" s="36">
        <f t="shared" si="8"/>
        <v>0</v>
      </c>
      <c r="AF32" s="38">
        <f t="shared" si="9"/>
        <v>22.87</v>
      </c>
      <c r="AG32" s="38">
        <f t="shared" si="10"/>
        <v>207.88</v>
      </c>
      <c r="AH32" s="39">
        <f t="shared" si="11"/>
        <v>9.9999999999909051E-3</v>
      </c>
      <c r="AI32" s="40"/>
      <c r="AJ32" s="30">
        <v>0.6</v>
      </c>
      <c r="AK32" s="30">
        <v>0.4</v>
      </c>
      <c r="AL32" s="30">
        <v>0</v>
      </c>
      <c r="AM32" s="41"/>
      <c r="AN32" s="42"/>
    </row>
    <row r="33" spans="1:40" ht="15" x14ac:dyDescent="0.2">
      <c r="A33" s="25">
        <v>31</v>
      </c>
      <c r="B33" s="26" t="s">
        <v>38</v>
      </c>
      <c r="C33" s="25" t="str">
        <f t="shared" si="0"/>
        <v>BLOCK 81X75X820-D80-B11</v>
      </c>
      <c r="D33" s="27" t="s">
        <v>46</v>
      </c>
      <c r="E33" s="27" t="s">
        <v>40</v>
      </c>
      <c r="F33" s="27">
        <v>80</v>
      </c>
      <c r="G33" s="27">
        <v>77</v>
      </c>
      <c r="H33" s="27">
        <v>81</v>
      </c>
      <c r="I33" s="27">
        <v>75</v>
      </c>
      <c r="J33" s="27">
        <v>820</v>
      </c>
      <c r="K33" s="28">
        <f t="shared" si="1"/>
        <v>247.47</v>
      </c>
      <c r="L33" s="29"/>
      <c r="M33" s="30">
        <v>0</v>
      </c>
      <c r="N33" s="31">
        <v>0.71</v>
      </c>
      <c r="O33" s="31">
        <v>0.18</v>
      </c>
      <c r="P33" s="30">
        <v>0</v>
      </c>
      <c r="Q33" s="32">
        <f t="shared" si="2"/>
        <v>0.8899999999999999</v>
      </c>
      <c r="R33" s="33">
        <f t="shared" si="3"/>
        <v>6.6000000000000003E-2</v>
      </c>
      <c r="S33" s="33">
        <f t="shared" si="4"/>
        <v>4.4000000000000004E-2</v>
      </c>
      <c r="T33" s="33">
        <f t="shared" si="12"/>
        <v>0</v>
      </c>
      <c r="U33" s="34">
        <v>0.11</v>
      </c>
      <c r="V33" s="30">
        <f t="shared" si="5"/>
        <v>0.99999999999999989</v>
      </c>
      <c r="W33" s="35"/>
      <c r="X33" s="36">
        <f t="shared" si="6"/>
        <v>0</v>
      </c>
      <c r="Y33" s="36">
        <f t="shared" si="6"/>
        <v>175.7</v>
      </c>
      <c r="Z33" s="36">
        <f t="shared" si="6"/>
        <v>44.54</v>
      </c>
      <c r="AA33" s="36">
        <f t="shared" si="6"/>
        <v>0</v>
      </c>
      <c r="AB33" s="37">
        <f t="shared" si="7"/>
        <v>220.23999999999998</v>
      </c>
      <c r="AC33" s="36">
        <f t="shared" si="8"/>
        <v>16.329999999999998</v>
      </c>
      <c r="AD33" s="36">
        <f t="shared" si="8"/>
        <v>10.89</v>
      </c>
      <c r="AE33" s="36">
        <f t="shared" si="8"/>
        <v>0</v>
      </c>
      <c r="AF33" s="38">
        <f t="shared" si="9"/>
        <v>27.22</v>
      </c>
      <c r="AG33" s="38">
        <f t="shared" si="10"/>
        <v>247.45999999999998</v>
      </c>
      <c r="AH33" s="39">
        <f t="shared" si="11"/>
        <v>-1.0000000000019327E-2</v>
      </c>
      <c r="AI33" s="40"/>
      <c r="AJ33" s="30">
        <v>0.6</v>
      </c>
      <c r="AK33" s="30">
        <v>0.4</v>
      </c>
      <c r="AL33" s="30">
        <v>0</v>
      </c>
      <c r="AM33" s="41"/>
      <c r="AN33" s="42"/>
    </row>
  </sheetData>
  <mergeCells count="6">
    <mergeCell ref="H1:J1"/>
    <mergeCell ref="M1:Q1"/>
    <mergeCell ref="R1:V1"/>
    <mergeCell ref="X1:AB1"/>
    <mergeCell ref="AC1:AF1"/>
    <mergeCell ref="AJ1:AL1"/>
  </mergeCells>
  <conditionalFormatting sqref="V3:V33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2026-06-28T11:05:20Z</dcterms:created>
  <dcterms:modified xsi:type="dcterms:W3CDTF">2026-06-28T11:05:33Z</dcterms:modified>
</cp:coreProperties>
</file>